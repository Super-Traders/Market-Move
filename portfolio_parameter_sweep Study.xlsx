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28215" windowHeight="11970" activeTab="1"/>
  </bookViews>
  <sheets>
    <sheet name="portfolio_parameter_sweep copy" sheetId="1" r:id="rId1"/>
    <sheet name="BACKTEST NEW " sheetId="2" r:id="rId2"/>
  </sheets>
  <calcPr calcId="124519"/>
  <pivotCaches>
    <pivotCache cacheId="0" r:id="rId3"/>
    <pivotCache cacheId="11" r:id="rId4"/>
  </pivotCaches>
</workbook>
</file>

<file path=xl/sharedStrings.xml><?xml version="1.0" encoding="utf-8"?>
<sst xmlns="http://schemas.openxmlformats.org/spreadsheetml/2006/main" count="37" uniqueCount="19">
  <si>
    <t>Top_N</t>
  </si>
  <si>
    <t>Exit_Rank</t>
  </si>
  <si>
    <t>Years</t>
  </si>
  <si>
    <t>Initial_Capital</t>
  </si>
  <si>
    <t>Final_Portfolio_Value</t>
  </si>
  <si>
    <t>Total_Return_%</t>
  </si>
  <si>
    <t>CAGR_%</t>
  </si>
  <si>
    <t>XIRR_%</t>
  </si>
  <si>
    <t>Max_Drawdown_%</t>
  </si>
  <si>
    <t>Periods</t>
  </si>
  <si>
    <t>Row Labels</t>
  </si>
  <si>
    <t>Grand Total</t>
  </si>
  <si>
    <t>Sum of CAGR_%</t>
  </si>
  <si>
    <t>Column Labels</t>
  </si>
  <si>
    <t>(All)</t>
  </si>
  <si>
    <t>No # stock</t>
  </si>
  <si>
    <t>Exit Score</t>
  </si>
  <si>
    <t>Year</t>
  </si>
  <si>
    <t>(blank)</t>
  </si>
</sst>
</file>

<file path=xl/styles.xml><?xml version="1.0" encoding="utf-8"?>
<styleSheet xmlns="http://schemas.openxmlformats.org/spreadsheetml/2006/main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NumberFormat="1" applyBorder="1"/>
    <xf numFmtId="164" fontId="0" fillId="0" borderId="10" xfId="0" applyNumberFormat="1" applyBorder="1"/>
    <xf numFmtId="0" fontId="0" fillId="0" borderId="0" xfId="0" applyAlignment="1">
      <alignment horizontal="center"/>
    </xf>
    <xf numFmtId="1" fontId="0" fillId="0" borderId="10" xfId="0" applyNumberFormat="1" applyBorder="1"/>
    <xf numFmtId="0" fontId="18" fillId="4" borderId="10" xfId="8" applyFont="1" applyBorder="1" applyAlignment="1">
      <alignment vertical="top" wrapText="1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numFmt numFmtId="164" formatCode="0.0"/>
    </dxf>
    <dxf>
      <alignment horizontal="center" readingOrder="0"/>
    </dxf>
    <dxf>
      <alignment horizontal="center" readingOrder="0"/>
    </dxf>
    <dxf>
      <alignment horizontal="center" indent="0" relativeIndent="255" readingOrder="0"/>
    </dxf>
    <dxf>
      <alignment horizontal="center" indent="0" relativeIndent="255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numFmt numFmtId="164" formatCode="0.0"/>
    </dxf>
    <dxf>
      <alignment horizontal="center" readingOrder="0"/>
    </dxf>
    <dxf>
      <alignment horizontal="center" readingOrder="0"/>
    </dxf>
    <dxf>
      <alignment horizontal="center" indent="0" relativeIndent="255" readingOrder="0"/>
    </dxf>
    <dxf>
      <alignment horizontal="center" indent="0" relativeIndent="255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numFmt numFmtId="164" formatCode="0.0"/>
    </dxf>
    <dxf>
      <alignment horizontal="center" readingOrder="0"/>
    </dxf>
    <dxf>
      <alignment horizontal="center" readingOrder="0"/>
    </dxf>
    <dxf>
      <alignment horizontal="center" indent="0" relativeIndent="255" readingOrder="0"/>
    </dxf>
    <dxf>
      <alignment horizontal="center" indent="0" relativeIndent="255" readingOrder="0"/>
    </dxf>
    <dxf>
      <alignment horizontal="center" readingOrder="0"/>
    </dxf>
    <dxf>
      <alignment horizontal="center" readingOrder="0"/>
    </dxf>
    <dxf>
      <alignment horizontal="center" indent="0" relativeIndent="255" readingOrder="0"/>
    </dxf>
    <dxf>
      <alignment horizontal="center" indent="0" relativeIndent="255" readingOrder="0"/>
    </dxf>
    <dxf>
      <alignment horizontal="center" readingOrder="0"/>
    </dxf>
    <dxf>
      <alignment horizontal="center" readingOrder="0"/>
    </dxf>
    <dxf>
      <numFmt numFmtId="164" formatCode="0.0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96.423643055554" createdVersion="3" refreshedVersion="3" minRefreshableVersion="3" recordCount="42">
  <cacheSource type="worksheet">
    <worksheetSource ref="A1:J43" sheet="portfolio_parameter_sweep copy"/>
  </cacheSource>
  <cacheFields count="10">
    <cacheField name="Top_N" numFmtId="0">
      <sharedItems containsSemiMixedTypes="0" containsString="0" containsNumber="1" containsInteger="1" minValue="5" maxValue="30" count="10">
        <n v="6"/>
        <n v="7"/>
        <n v="5"/>
        <n v="30"/>
        <n v="10"/>
        <n v="25"/>
        <n v="15"/>
        <n v="9"/>
        <n v="20"/>
        <n v="8"/>
      </sharedItems>
    </cacheField>
    <cacheField name="Exit_Rank" numFmtId="0">
      <sharedItems containsSemiMixedTypes="0" containsString="0" containsNumber="1" containsInteger="1" minValue="60" maxValue="80" count="5">
        <n v="70"/>
        <n v="65"/>
        <n v="60"/>
        <n v="75"/>
        <n v="80"/>
      </sharedItems>
    </cacheField>
    <cacheField name="Years" numFmtId="0">
      <sharedItems containsSemiMixedTypes="0" containsString="0" containsNumber="1" containsInteger="1" minValue="3" maxValue="3" count="1">
        <n v="3"/>
      </sharedItems>
    </cacheField>
    <cacheField name="Initial_Capital" numFmtId="0">
      <sharedItems containsSemiMixedTypes="0" containsString="0" containsNumber="1" containsInteger="1" minValue="1000000" maxValue="1000000"/>
    </cacheField>
    <cacheField name="Final_Portfolio_Value" numFmtId="0">
      <sharedItems containsSemiMixedTypes="0" containsString="0" containsNumber="1" containsInteger="1" minValue="1406798" maxValue="2231527"/>
    </cacheField>
    <cacheField name="Total_Return_%" numFmtId="0">
      <sharedItems containsSemiMixedTypes="0" containsString="0" containsNumber="1" containsInteger="1" minValue="40" maxValue="139"/>
    </cacheField>
    <cacheField name="CAGR_%" numFmtId="0">
      <sharedItems containsSemiMixedTypes="0" containsString="0" containsNumber="1" minValue="12.1" maxValue="33.6"/>
    </cacheField>
    <cacheField name="XIRR_%" numFmtId="0">
      <sharedItems containsSemiMixedTypes="0" containsString="0" containsNumber="1" containsInteger="1" minValue="-86" maxValue="-51"/>
    </cacheField>
    <cacheField name="Max_Drawdown_%" numFmtId="0">
      <sharedItems containsSemiMixedTypes="0" containsString="0" containsNumber="1" containsInteger="1" minValue="20" maxValue="44"/>
    </cacheField>
    <cacheField name="Periods" numFmtId="0">
      <sharedItems containsSemiMixedTypes="0" containsString="0" containsNumber="1" containsInteger="1" minValue="35" maxValue="36" count="2">
        <n v="36"/>
        <n v="3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309.00774641204" createdVersion="3" refreshedVersion="3" minRefreshableVersion="3" recordCount="53">
  <cacheSource type="worksheet">
    <worksheetSource ref="A1:J1048576" sheet="BACKTEST NEW "/>
  </cacheSource>
  <cacheFields count="10">
    <cacheField name="Top_N" numFmtId="0">
      <sharedItems containsString="0" containsBlank="1" containsNumber="1" containsInteger="1" minValue="5" maxValue="30" count="7">
        <n v="20"/>
        <n v="15"/>
        <n v="30"/>
        <n v="10"/>
        <n v="25"/>
        <n v="5"/>
        <m/>
      </sharedItems>
    </cacheField>
    <cacheField name="Exit_Rank" numFmtId="0">
      <sharedItems containsString="0" containsBlank="1" containsNumber="1" containsInteger="1" minValue="60" maxValue="80" count="4">
        <n v="60"/>
        <n v="70"/>
        <n v="80"/>
        <m/>
      </sharedItems>
    </cacheField>
    <cacheField name="Years" numFmtId="0">
      <sharedItems containsString="0" containsBlank="1" containsNumber="1" containsInteger="1" minValue="3" maxValue="10" count="4">
        <n v="3"/>
        <n v="5"/>
        <n v="10"/>
        <m/>
      </sharedItems>
    </cacheField>
    <cacheField name="Initial_Capital" numFmtId="0">
      <sharedItems containsString="0" containsBlank="1" containsNumber="1" containsInteger="1" minValue="1000000" maxValue="1000000"/>
    </cacheField>
    <cacheField name="Final_Portfolio_Value" numFmtId="0">
      <sharedItems containsString="0" containsBlank="1" containsNumber="1" minValue="1000000" maxValue="5145465.99"/>
    </cacheField>
    <cacheField name="Total_Return_%" numFmtId="0">
      <sharedItems containsString="0" containsBlank="1" containsNumber="1" minValue="90.45" maxValue="1882.77"/>
    </cacheField>
    <cacheField name="CAGR_%" numFmtId="0">
      <sharedItems containsString="0" containsBlank="1" containsNumber="1" minValue="24.72" maxValue="43.26"/>
    </cacheField>
    <cacheField name="XIRR_%" numFmtId="0">
      <sharedItems containsString="0" containsBlank="1" containsNumber="1" minValue="0" maxValue="40.03"/>
    </cacheField>
    <cacheField name="Max_Drawdown_%" numFmtId="0">
      <sharedItems containsString="0" containsBlank="1" containsNumber="1" minValue="18.54" maxValue="33.17"/>
    </cacheField>
    <cacheField name="Periods" numFmtId="0">
      <sharedItems containsString="0" containsBlank="1" containsNumber="1" containsInteger="1" minValue="35" maxValue="10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x v="0"/>
    <n v="1000000"/>
    <n v="2231527"/>
    <n v="139"/>
    <n v="33.6"/>
    <n v="-82"/>
    <n v="29"/>
    <x v="0"/>
  </r>
  <r>
    <x v="1"/>
    <x v="1"/>
    <x v="0"/>
    <n v="1000000"/>
    <n v="2022745"/>
    <n v="125"/>
    <n v="31"/>
    <n v="-78"/>
    <n v="32"/>
    <x v="0"/>
  </r>
  <r>
    <x v="0"/>
    <x v="1"/>
    <x v="0"/>
    <n v="1000000"/>
    <n v="1953974"/>
    <n v="121"/>
    <n v="30.3"/>
    <n v="-80"/>
    <n v="36"/>
    <x v="0"/>
  </r>
  <r>
    <x v="0"/>
    <x v="2"/>
    <x v="0"/>
    <n v="1000000"/>
    <n v="1950713"/>
    <n v="121"/>
    <n v="30.2"/>
    <n v="-79"/>
    <n v="35"/>
    <x v="0"/>
  </r>
  <r>
    <x v="1"/>
    <x v="2"/>
    <x v="0"/>
    <n v="1000000"/>
    <n v="1891128"/>
    <n v="115"/>
    <n v="29.1"/>
    <n v="-79"/>
    <n v="34"/>
    <x v="0"/>
  </r>
  <r>
    <x v="2"/>
    <x v="1"/>
    <x v="0"/>
    <n v="1000000"/>
    <n v="1747782"/>
    <n v="95"/>
    <n v="25.8"/>
    <n v="-83"/>
    <n v="36"/>
    <x v="1"/>
  </r>
  <r>
    <x v="1"/>
    <x v="0"/>
    <x v="0"/>
    <n v="1000000"/>
    <n v="1790802"/>
    <n v="97"/>
    <n v="25.4"/>
    <n v="-79"/>
    <n v="37"/>
    <x v="0"/>
  </r>
  <r>
    <x v="2"/>
    <x v="2"/>
    <x v="0"/>
    <n v="1000000"/>
    <n v="1728936"/>
    <n v="93"/>
    <n v="25.3"/>
    <n v="-81"/>
    <n v="34"/>
    <x v="1"/>
  </r>
  <r>
    <x v="2"/>
    <x v="3"/>
    <x v="0"/>
    <n v="1000000"/>
    <n v="1751720"/>
    <n v="89"/>
    <n v="24.4"/>
    <n v="-85"/>
    <n v="38"/>
    <x v="1"/>
  </r>
  <r>
    <x v="2"/>
    <x v="0"/>
    <x v="0"/>
    <n v="1000000"/>
    <n v="1689613"/>
    <n v="83"/>
    <n v="23.1"/>
    <n v="-82"/>
    <n v="38"/>
    <x v="1"/>
  </r>
  <r>
    <x v="3"/>
    <x v="3"/>
    <x v="0"/>
    <n v="1000000"/>
    <n v="1746812"/>
    <n v="78"/>
    <n v="21.9"/>
    <n v="-57"/>
    <n v="20"/>
    <x v="1"/>
  </r>
  <r>
    <x v="2"/>
    <x v="4"/>
    <x v="0"/>
    <n v="1000000"/>
    <n v="1642932"/>
    <n v="78"/>
    <n v="21.8"/>
    <n v="-86"/>
    <n v="39"/>
    <x v="1"/>
  </r>
  <r>
    <x v="4"/>
    <x v="4"/>
    <x v="0"/>
    <n v="1000000"/>
    <n v="1668177"/>
    <n v="76"/>
    <n v="21.4"/>
    <n v="-79"/>
    <n v="35"/>
    <x v="1"/>
  </r>
  <r>
    <x v="5"/>
    <x v="4"/>
    <x v="0"/>
    <n v="1000000"/>
    <n v="1780582"/>
    <n v="76"/>
    <n v="21.4"/>
    <n v="-61"/>
    <n v="23"/>
    <x v="1"/>
  </r>
  <r>
    <x v="6"/>
    <x v="4"/>
    <x v="0"/>
    <n v="1000000"/>
    <n v="1777905"/>
    <n v="75"/>
    <n v="21.2"/>
    <n v="-76"/>
    <n v="34"/>
    <x v="1"/>
  </r>
  <r>
    <x v="3"/>
    <x v="1"/>
    <x v="0"/>
    <n v="1000000"/>
    <n v="1662345"/>
    <n v="75"/>
    <n v="21.1"/>
    <n v="-53"/>
    <n v="20"/>
    <x v="1"/>
  </r>
  <r>
    <x v="3"/>
    <x v="2"/>
    <x v="0"/>
    <n v="1000000"/>
    <n v="1657997"/>
    <n v="74"/>
    <n v="20.8"/>
    <n v="-51"/>
    <n v="20"/>
    <x v="1"/>
  </r>
  <r>
    <x v="5"/>
    <x v="1"/>
    <x v="0"/>
    <n v="1000000"/>
    <n v="1665750"/>
    <n v="73"/>
    <n v="20.6"/>
    <n v="-58"/>
    <n v="23"/>
    <x v="1"/>
  </r>
  <r>
    <x v="7"/>
    <x v="1"/>
    <x v="0"/>
    <n v="1000000"/>
    <n v="1828960"/>
    <n v="75"/>
    <n v="20.5"/>
    <n v="-75"/>
    <n v="41"/>
    <x v="0"/>
  </r>
  <r>
    <x v="8"/>
    <x v="4"/>
    <x v="0"/>
    <n v="1000000"/>
    <n v="1735060"/>
    <n v="72"/>
    <n v="20.5"/>
    <n v="-66"/>
    <n v="25"/>
    <x v="1"/>
  </r>
  <r>
    <x v="3"/>
    <x v="4"/>
    <x v="0"/>
    <n v="1000000"/>
    <n v="1733686"/>
    <n v="72"/>
    <n v="20.5"/>
    <n v="-59"/>
    <n v="22"/>
    <x v="1"/>
  </r>
  <r>
    <x v="7"/>
    <x v="2"/>
    <x v="0"/>
    <n v="1000000"/>
    <n v="1775830"/>
    <n v="75"/>
    <n v="20.399999999999999"/>
    <n v="-75"/>
    <n v="41"/>
    <x v="0"/>
  </r>
  <r>
    <x v="3"/>
    <x v="0"/>
    <x v="0"/>
    <n v="1000000"/>
    <n v="1647041"/>
    <n v="71"/>
    <n v="20.3"/>
    <n v="-55"/>
    <n v="20"/>
    <x v="1"/>
  </r>
  <r>
    <x v="4"/>
    <x v="1"/>
    <x v="0"/>
    <n v="1000000"/>
    <n v="1887234"/>
    <n v="70"/>
    <n v="20.100000000000001"/>
    <n v="-77"/>
    <n v="38"/>
    <x v="1"/>
  </r>
  <r>
    <x v="4"/>
    <x v="2"/>
    <x v="0"/>
    <n v="1000000"/>
    <n v="1833383"/>
    <n v="71"/>
    <n v="20.100000000000001"/>
    <n v="-79"/>
    <n v="40"/>
    <x v="1"/>
  </r>
  <r>
    <x v="4"/>
    <x v="0"/>
    <x v="0"/>
    <n v="1000000"/>
    <n v="1709548"/>
    <n v="70"/>
    <n v="19.8"/>
    <n v="-76"/>
    <n v="37"/>
    <x v="1"/>
  </r>
  <r>
    <x v="5"/>
    <x v="0"/>
    <x v="0"/>
    <n v="1000000"/>
    <n v="1629875"/>
    <n v="69"/>
    <n v="19.8"/>
    <n v="-60"/>
    <n v="24"/>
    <x v="1"/>
  </r>
  <r>
    <x v="5"/>
    <x v="2"/>
    <x v="0"/>
    <n v="1000000"/>
    <n v="1645005"/>
    <n v="69"/>
    <n v="19.600000000000001"/>
    <n v="-58"/>
    <n v="25"/>
    <x v="1"/>
  </r>
  <r>
    <x v="4"/>
    <x v="3"/>
    <x v="0"/>
    <n v="1000000"/>
    <n v="1649774"/>
    <n v="68"/>
    <n v="19.399999999999999"/>
    <n v="-77"/>
    <n v="34"/>
    <x v="1"/>
  </r>
  <r>
    <x v="9"/>
    <x v="1"/>
    <x v="0"/>
    <n v="1000000"/>
    <n v="1692009"/>
    <n v="68"/>
    <n v="18.8"/>
    <n v="-79"/>
    <n v="37"/>
    <x v="0"/>
  </r>
  <r>
    <x v="9"/>
    <x v="0"/>
    <x v="0"/>
    <n v="1000000"/>
    <n v="1628595"/>
    <n v="67"/>
    <n v="18.7"/>
    <n v="-75"/>
    <n v="37"/>
    <x v="0"/>
  </r>
  <r>
    <x v="7"/>
    <x v="0"/>
    <x v="0"/>
    <n v="1000000"/>
    <n v="1584052"/>
    <n v="67"/>
    <n v="18.7"/>
    <n v="-75"/>
    <n v="44"/>
    <x v="0"/>
  </r>
  <r>
    <x v="9"/>
    <x v="2"/>
    <x v="0"/>
    <n v="1000000"/>
    <n v="1578438"/>
    <n v="66"/>
    <n v="18.3"/>
    <n v="-76"/>
    <n v="37"/>
    <x v="0"/>
  </r>
  <r>
    <x v="5"/>
    <x v="3"/>
    <x v="0"/>
    <n v="1000000"/>
    <n v="1620258"/>
    <n v="62"/>
    <n v="18"/>
    <n v="-61"/>
    <n v="27"/>
    <x v="1"/>
  </r>
  <r>
    <x v="6"/>
    <x v="3"/>
    <x v="0"/>
    <n v="1000000"/>
    <n v="1583611"/>
    <n v="59"/>
    <n v="17.100000000000001"/>
    <n v="-75"/>
    <n v="32"/>
    <x v="1"/>
  </r>
  <r>
    <x v="8"/>
    <x v="3"/>
    <x v="0"/>
    <n v="1000000"/>
    <n v="1519693"/>
    <n v="54"/>
    <n v="15.9"/>
    <n v="-70"/>
    <n v="30"/>
    <x v="1"/>
  </r>
  <r>
    <x v="6"/>
    <x v="2"/>
    <x v="0"/>
    <n v="1000000"/>
    <n v="1537945"/>
    <n v="52"/>
    <n v="15.6"/>
    <n v="-70"/>
    <n v="34"/>
    <x v="1"/>
  </r>
  <r>
    <x v="8"/>
    <x v="1"/>
    <x v="0"/>
    <n v="1000000"/>
    <n v="1512820"/>
    <n v="52"/>
    <n v="15.4"/>
    <n v="-61"/>
    <n v="28"/>
    <x v="1"/>
  </r>
  <r>
    <x v="8"/>
    <x v="2"/>
    <x v="0"/>
    <n v="1000000"/>
    <n v="1475238"/>
    <n v="47"/>
    <n v="14.1"/>
    <n v="-65"/>
    <n v="30"/>
    <x v="1"/>
  </r>
  <r>
    <x v="8"/>
    <x v="0"/>
    <x v="0"/>
    <n v="1000000"/>
    <n v="1438131"/>
    <n v="46"/>
    <n v="13.8"/>
    <n v="-63"/>
    <n v="29"/>
    <x v="1"/>
  </r>
  <r>
    <x v="6"/>
    <x v="1"/>
    <x v="0"/>
    <n v="1000000"/>
    <n v="1448049"/>
    <n v="44"/>
    <n v="13.4"/>
    <n v="-69"/>
    <n v="36"/>
    <x v="1"/>
  </r>
  <r>
    <x v="6"/>
    <x v="0"/>
    <x v="0"/>
    <n v="1000000"/>
    <n v="1406798"/>
    <n v="40"/>
    <n v="12.1"/>
    <n v="-70"/>
    <n v="3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">
  <r>
    <x v="0"/>
    <x v="0"/>
    <x v="0"/>
    <n v="1000000"/>
    <n v="2555467.04"/>
    <n v="168.76"/>
    <n v="40.35"/>
    <n v="39.03"/>
    <n v="21.64"/>
    <n v="35"/>
  </r>
  <r>
    <x v="0"/>
    <x v="1"/>
    <x v="0"/>
    <n v="1000000"/>
    <n v="2418093.86"/>
    <n v="155.47999999999999"/>
    <n v="37.93"/>
    <n v="36.36"/>
    <n v="22.24"/>
    <n v="35"/>
  </r>
  <r>
    <x v="1"/>
    <x v="0"/>
    <x v="0"/>
    <n v="1000000"/>
    <n v="2388991.86"/>
    <n v="153.80000000000001"/>
    <n v="37.619999999999997"/>
    <n v="35.78"/>
    <n v="18.54"/>
    <n v="35"/>
  </r>
  <r>
    <x v="1"/>
    <x v="1"/>
    <x v="0"/>
    <n v="1000000"/>
    <n v="2373830.79"/>
    <n v="151.32"/>
    <n v="37.159999999999997"/>
    <n v="35.47"/>
    <n v="18.96"/>
    <n v="35"/>
  </r>
  <r>
    <x v="2"/>
    <x v="0"/>
    <x v="0"/>
    <n v="1000000"/>
    <n v="2278449.4"/>
    <n v="148.58000000000001"/>
    <n v="36.64"/>
    <n v="33.54"/>
    <n v="20.84"/>
    <n v="35"/>
  </r>
  <r>
    <x v="1"/>
    <x v="2"/>
    <x v="0"/>
    <n v="1000000"/>
    <n v="2288073.77"/>
    <n v="146.25"/>
    <n v="36.200000000000003"/>
    <n v="33.74"/>
    <n v="19"/>
    <n v="35"/>
  </r>
  <r>
    <x v="0"/>
    <x v="2"/>
    <x v="0"/>
    <n v="1000000"/>
    <n v="2300150.13"/>
    <n v="146.19999999999999"/>
    <n v="36.19"/>
    <n v="33.979999999999997"/>
    <n v="18.97"/>
    <n v="35"/>
  </r>
  <r>
    <x v="3"/>
    <x v="0"/>
    <x v="0"/>
    <n v="1000000"/>
    <n v="2227327.9500000002"/>
    <n v="132.81"/>
    <n v="33.61"/>
    <n v="32.479999999999997"/>
    <n v="22"/>
    <n v="35"/>
  </r>
  <r>
    <x v="4"/>
    <x v="0"/>
    <x v="0"/>
    <n v="1000000"/>
    <n v="2195151.15"/>
    <n v="132.08000000000001"/>
    <n v="33.46"/>
    <n v="31.8"/>
    <n v="22.19"/>
    <n v="35"/>
  </r>
  <r>
    <x v="4"/>
    <x v="1"/>
    <x v="0"/>
    <n v="1000000"/>
    <n v="2142815.71"/>
    <n v="126.66"/>
    <n v="32.39"/>
    <n v="30.69"/>
    <n v="21.93"/>
    <n v="35"/>
  </r>
  <r>
    <x v="2"/>
    <x v="2"/>
    <x v="0"/>
    <n v="1000000"/>
    <n v="2083491.95"/>
    <n v="124.06"/>
    <n v="31.86"/>
    <n v="29.41"/>
    <n v="23.07"/>
    <n v="35"/>
  </r>
  <r>
    <x v="2"/>
    <x v="1"/>
    <x v="0"/>
    <n v="1000000"/>
    <n v="2080514.65"/>
    <n v="122.75"/>
    <n v="31.6"/>
    <n v="29.34"/>
    <n v="22.89"/>
    <n v="35"/>
  </r>
  <r>
    <x v="4"/>
    <x v="2"/>
    <x v="0"/>
    <n v="1000000"/>
    <n v="2059152.89"/>
    <n v="121.37"/>
    <n v="31.32"/>
    <n v="28.87"/>
    <n v="21.17"/>
    <n v="35"/>
  </r>
  <r>
    <x v="5"/>
    <x v="2"/>
    <x v="0"/>
    <n v="1000000"/>
    <n v="1953436.26"/>
    <n v="101.27"/>
    <n v="27.1"/>
    <n v="26.51"/>
    <n v="23.98"/>
    <n v="35"/>
  </r>
  <r>
    <x v="5"/>
    <x v="1"/>
    <x v="0"/>
    <n v="1000000"/>
    <n v="1961037.83"/>
    <n v="99.48"/>
    <n v="26.71"/>
    <n v="26.71"/>
    <n v="23.63"/>
    <n v="35"/>
  </r>
  <r>
    <x v="3"/>
    <x v="1"/>
    <x v="0"/>
    <n v="1000000"/>
    <n v="1907948.93"/>
    <n v="97.98"/>
    <n v="26.39"/>
    <n v="25.47"/>
    <n v="22"/>
    <n v="35"/>
  </r>
  <r>
    <x v="5"/>
    <x v="0"/>
    <x v="0"/>
    <n v="1000000"/>
    <n v="1847576.34"/>
    <n v="92.16"/>
    <n v="25.1"/>
    <n v="24.09"/>
    <n v="21.22"/>
    <n v="35"/>
  </r>
  <r>
    <x v="3"/>
    <x v="2"/>
    <x v="0"/>
    <n v="1000000"/>
    <n v="1811231.91"/>
    <n v="90.45"/>
    <n v="24.72"/>
    <n v="23.2"/>
    <n v="21.01"/>
    <n v="35"/>
  </r>
  <r>
    <x v="1"/>
    <x v="1"/>
    <x v="1"/>
    <n v="1000000"/>
    <n v="5067810.0199999996"/>
    <n v="485.56"/>
    <n v="43.26"/>
    <n v="39.6"/>
    <n v="19.98"/>
    <n v="59"/>
  </r>
  <r>
    <x v="1"/>
    <x v="0"/>
    <x v="1"/>
    <n v="1000000"/>
    <n v="5135977.84"/>
    <n v="485.43"/>
    <n v="43.25"/>
    <n v="39.979999999999997"/>
    <n v="18.649999999999999"/>
    <n v="59"/>
  </r>
  <r>
    <x v="0"/>
    <x v="0"/>
    <x v="1"/>
    <n v="1000000"/>
    <n v="5145465.99"/>
    <n v="484.66"/>
    <n v="43.21"/>
    <n v="40.03"/>
    <n v="21.64"/>
    <n v="59"/>
  </r>
  <r>
    <x v="0"/>
    <x v="1"/>
    <x v="1"/>
    <n v="1000000"/>
    <n v="5006195.13"/>
    <n v="477.06"/>
    <n v="42.83"/>
    <n v="39.24"/>
    <n v="22.24"/>
    <n v="59"/>
  </r>
  <r>
    <x v="5"/>
    <x v="1"/>
    <x v="1"/>
    <n v="1000000"/>
    <n v="4917629.3099999996"/>
    <n v="463.98"/>
    <n v="42.17"/>
    <n v="38.729999999999997"/>
    <n v="23.63"/>
    <n v="59"/>
  </r>
  <r>
    <x v="1"/>
    <x v="2"/>
    <x v="1"/>
    <n v="1000000"/>
    <n v="4610417.2300000004"/>
    <n v="450.84"/>
    <n v="41.49"/>
    <n v="36.909999999999997"/>
    <n v="19"/>
    <n v="59"/>
  </r>
  <r>
    <x v="2"/>
    <x v="0"/>
    <x v="1"/>
    <n v="1000000"/>
    <n v="4672508.96"/>
    <n v="446.82"/>
    <n v="41.28"/>
    <n v="37.28"/>
    <n v="20.84"/>
    <n v="59"/>
  </r>
  <r>
    <x v="0"/>
    <x v="2"/>
    <x v="1"/>
    <n v="1000000"/>
    <n v="4578292.24"/>
    <n v="444.65"/>
    <n v="41.16"/>
    <n v="36.71"/>
    <n v="18.97"/>
    <n v="59"/>
  </r>
  <r>
    <x v="5"/>
    <x v="2"/>
    <x v="1"/>
    <n v="1000000"/>
    <n v="4857476.8600000003"/>
    <n v="442.58"/>
    <n v="41.05"/>
    <n v="38.380000000000003"/>
    <n v="23.63"/>
    <n v="59"/>
  </r>
  <r>
    <x v="4"/>
    <x v="0"/>
    <x v="1"/>
    <n v="1000000"/>
    <n v="4772458.5599999996"/>
    <n v="432.47"/>
    <n v="40.51"/>
    <n v="37.880000000000003"/>
    <n v="22.19"/>
    <n v="59"/>
  </r>
  <r>
    <x v="4"/>
    <x v="1"/>
    <x v="1"/>
    <n v="1000000"/>
    <n v="4724860.1500000004"/>
    <n v="429.52"/>
    <n v="40.36"/>
    <n v="37.6"/>
    <n v="21.93"/>
    <n v="59"/>
  </r>
  <r>
    <x v="3"/>
    <x v="0"/>
    <x v="1"/>
    <n v="1000000"/>
    <n v="4669562.38"/>
    <n v="424.31"/>
    <n v="40.07"/>
    <n v="37.270000000000003"/>
    <n v="22"/>
    <n v="59"/>
  </r>
  <r>
    <x v="4"/>
    <x v="2"/>
    <x v="1"/>
    <n v="1000000"/>
    <n v="4492048.5599999996"/>
    <n v="412.73"/>
    <n v="39.44"/>
    <n v="36.18"/>
    <n v="21.28"/>
    <n v="59"/>
  </r>
  <r>
    <x v="2"/>
    <x v="2"/>
    <x v="1"/>
    <n v="1000000"/>
    <n v="4354736.9800000004"/>
    <n v="396.08"/>
    <n v="38.51"/>
    <n v="35.31"/>
    <n v="23.07"/>
    <n v="59"/>
  </r>
  <r>
    <x v="2"/>
    <x v="1"/>
    <x v="1"/>
    <n v="1000000"/>
    <n v="4232282.17"/>
    <n v="382.1"/>
    <n v="37.700000000000003"/>
    <n v="34.520000000000003"/>
    <n v="22.89"/>
    <n v="59"/>
  </r>
  <r>
    <x v="5"/>
    <x v="0"/>
    <x v="1"/>
    <n v="1000000"/>
    <n v="4218534.3"/>
    <n v="372.01"/>
    <n v="37.11"/>
    <n v="34.43"/>
    <n v="23.63"/>
    <n v="59"/>
  </r>
  <r>
    <x v="3"/>
    <x v="2"/>
    <x v="1"/>
    <n v="1000000"/>
    <n v="4110843.33"/>
    <n v="369.76"/>
    <n v="36.979999999999997"/>
    <n v="33.72"/>
    <n v="21.01"/>
    <n v="59"/>
  </r>
  <r>
    <x v="3"/>
    <x v="1"/>
    <x v="1"/>
    <n v="1000000"/>
    <n v="3753167.8"/>
    <n v="321.14"/>
    <n v="33.97"/>
    <n v="31.24"/>
    <n v="22"/>
    <n v="59"/>
  </r>
  <r>
    <x v="2"/>
    <x v="0"/>
    <x v="2"/>
    <n v="1000000"/>
    <n v="1000000"/>
    <n v="1882.77"/>
    <n v="39.79"/>
    <n v="0"/>
    <n v="32.06"/>
    <n v="107"/>
  </r>
  <r>
    <x v="1"/>
    <x v="0"/>
    <x v="2"/>
    <n v="1000000"/>
    <n v="1000000"/>
    <n v="1808.71"/>
    <n v="39.200000000000003"/>
    <n v="0"/>
    <n v="29.46"/>
    <n v="107"/>
  </r>
  <r>
    <x v="1"/>
    <x v="1"/>
    <x v="2"/>
    <n v="1000000"/>
    <n v="1000000"/>
    <n v="1672.3"/>
    <n v="38.049999999999997"/>
    <n v="0"/>
    <n v="30.23"/>
    <n v="107"/>
  </r>
  <r>
    <x v="0"/>
    <x v="0"/>
    <x v="2"/>
    <n v="1000000"/>
    <n v="1000000"/>
    <n v="1670.6"/>
    <n v="38.03"/>
    <n v="0"/>
    <n v="31.02"/>
    <n v="107"/>
  </r>
  <r>
    <x v="3"/>
    <x v="0"/>
    <x v="2"/>
    <n v="1000000"/>
    <n v="1000000"/>
    <n v="1664.18"/>
    <n v="37.97"/>
    <n v="0"/>
    <n v="31.15"/>
    <n v="107"/>
  </r>
  <r>
    <x v="4"/>
    <x v="0"/>
    <x v="2"/>
    <n v="1000000"/>
    <n v="1000000"/>
    <n v="1640.16"/>
    <n v="37.76"/>
    <n v="0"/>
    <n v="30.18"/>
    <n v="107"/>
  </r>
  <r>
    <x v="4"/>
    <x v="2"/>
    <x v="2"/>
    <n v="1000000"/>
    <n v="1000000"/>
    <n v="1582.69"/>
    <n v="37.24"/>
    <n v="0"/>
    <n v="28.93"/>
    <n v="107"/>
  </r>
  <r>
    <x v="1"/>
    <x v="2"/>
    <x v="2"/>
    <n v="1000000"/>
    <n v="1000000"/>
    <n v="1525.26"/>
    <n v="36.71"/>
    <n v="0"/>
    <n v="29.93"/>
    <n v="107"/>
  </r>
  <r>
    <x v="2"/>
    <x v="1"/>
    <x v="2"/>
    <n v="1000000"/>
    <n v="1000000"/>
    <n v="1518.01"/>
    <n v="36.64"/>
    <n v="0"/>
    <n v="32"/>
    <n v="107"/>
  </r>
  <r>
    <x v="0"/>
    <x v="1"/>
    <x v="2"/>
    <n v="1000000"/>
    <n v="1000000"/>
    <n v="1516.19"/>
    <n v="36.630000000000003"/>
    <n v="0"/>
    <n v="31.9"/>
    <n v="107"/>
  </r>
  <r>
    <x v="2"/>
    <x v="2"/>
    <x v="2"/>
    <n v="1000000"/>
    <n v="1000000"/>
    <n v="1468.85"/>
    <n v="36.17"/>
    <n v="0"/>
    <n v="32.35"/>
    <n v="107"/>
  </r>
  <r>
    <x v="4"/>
    <x v="1"/>
    <x v="2"/>
    <n v="1000000"/>
    <n v="1000000"/>
    <n v="1426.32"/>
    <n v="35.75"/>
    <n v="0"/>
    <n v="33.17"/>
    <n v="107"/>
  </r>
  <r>
    <x v="3"/>
    <x v="2"/>
    <x v="2"/>
    <n v="1000000"/>
    <n v="1000000"/>
    <n v="1358.39"/>
    <n v="35.06"/>
    <n v="0"/>
    <n v="32.82"/>
    <n v="107"/>
  </r>
  <r>
    <x v="0"/>
    <x v="2"/>
    <x v="2"/>
    <n v="1000000"/>
    <n v="1000000"/>
    <n v="1285.33"/>
    <n v="34.28"/>
    <n v="0"/>
    <n v="31.12"/>
    <n v="107"/>
  </r>
  <r>
    <x v="3"/>
    <x v="1"/>
    <x v="2"/>
    <n v="1000000"/>
    <n v="1000000"/>
    <n v="1240.77"/>
    <n v="33.79"/>
    <n v="0"/>
    <n v="30.87"/>
    <n v="107"/>
  </r>
  <r>
    <x v="6"/>
    <x v="3"/>
    <x v="3"/>
    <m/>
    <m/>
    <m/>
    <m/>
    <m/>
    <m/>
    <m/>
  </r>
  <r>
    <x v="6"/>
    <x v="3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Q3:W15" firstHeaderRow="1" firstDataRow="2" firstDataCol="1" rowPageCount="1" colPageCount="1"/>
  <pivotFields count="10">
    <pivotField axis="axisRow" showAll="0">
      <items count="11">
        <item x="2"/>
        <item x="0"/>
        <item x="1"/>
        <item x="9"/>
        <item x="7"/>
        <item x="4"/>
        <item x="6"/>
        <item x="8"/>
        <item x="5"/>
        <item x="3"/>
        <item t="default"/>
      </items>
    </pivotField>
    <pivotField axis="axisCol" showAll="0">
      <items count="6">
        <item x="2"/>
        <item x="1"/>
        <item x="0"/>
        <item x="3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Sum of CAGR_%" fld="6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Year" colHeaderCaption="Exit Score">
  <location ref="Q3:W23" firstHeaderRow="1" firstDataRow="2" firstDataCol="2"/>
  <pivotFields count="10">
    <pivotField name="No # stock" axis="axisRow" showAll="0">
      <items count="8">
        <item x="5"/>
        <item x="3"/>
        <item x="1"/>
        <item x="0"/>
        <item x="4"/>
        <item x="2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outline="0" showAll="0" defaultSubtotal="0">
      <items count="4">
        <item x="0"/>
        <item x="3"/>
        <item x="1"/>
        <item x="2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2"/>
    <field x="0"/>
  </rowFields>
  <rowItems count="19">
    <i>
      <x/>
      <x/>
    </i>
    <i r="1">
      <x v="1"/>
    </i>
    <i r="1">
      <x v="2"/>
    </i>
    <i r="1">
      <x v="3"/>
    </i>
    <i r="1">
      <x v="4"/>
    </i>
    <i r="1">
      <x v="5"/>
    </i>
    <i>
      <x v="1"/>
      <x v="6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Year" fld="6" baseField="0" baseItem="0"/>
  </dataFields>
  <formats count="16">
    <format dxfId="61">
      <pivotArea collapsedLevelsAreSubtotals="1" fieldPosition="0">
        <references count="1">
          <reference field="0" count="0"/>
        </references>
      </pivotArea>
    </format>
    <format dxfId="60">
      <pivotArea dataOnly="0" labelOnly="1" fieldPosition="0">
        <references count="1">
          <reference field="0" count="0"/>
        </references>
      </pivotArea>
    </format>
    <format dxfId="59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3" selected="0">
            <x v="0"/>
            <x v="1"/>
            <x v="2"/>
          </reference>
          <reference field="2" count="1" selected="0">
            <x v="0"/>
          </reference>
        </references>
      </pivotArea>
    </format>
    <format dxfId="58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3" selected="0">
            <x v="0"/>
            <x v="1"/>
            <x v="2"/>
          </reference>
          <reference field="2" count="1" selected="0">
            <x v="2"/>
          </reference>
        </references>
      </pivotArea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Col="1" outline="0" fieldPosition="0"/>
    </format>
    <format dxfId="55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54">
      <pivotArea dataOnly="0" labelOnly="1" fieldPosition="0">
        <references count="2">
          <reference field="0" count="0"/>
          <reference field="2" count="1" selected="0">
            <x v="0"/>
          </reference>
        </references>
      </pivotArea>
    </format>
    <format dxfId="31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3" selected="0">
            <x v="0"/>
            <x v="1"/>
            <x v="2"/>
          </reference>
          <reference field="2" count="1" selected="0">
            <x v="0"/>
          </reference>
        </references>
      </pivotArea>
    </format>
    <format dxfId="29">
      <pivotArea collapsedLevelsAreSubtotals="1" fieldPosition="0">
        <references count="3">
          <reference field="0" count="1">
            <x v="6"/>
          </reference>
          <reference field="1" count="3" selected="0">
            <x v="0"/>
            <x v="1"/>
            <x v="2"/>
          </reference>
          <reference field="2" count="1" selected="0">
            <x v="1"/>
          </reference>
        </references>
      </pivotArea>
    </format>
    <format dxfId="27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3" selected="0">
            <x v="0"/>
            <x v="1"/>
            <x v="2"/>
          </reference>
          <reference field="2" count="1" selected="0">
            <x v="2"/>
          </reference>
        </references>
      </pivotArea>
    </format>
    <format dxfId="25">
      <pivotArea collapsedLevelsAreSubtotals="1" fieldPosition="0">
        <references count="3">
          <reference field="0" count="5">
            <x v="1"/>
            <x v="2"/>
            <x v="3"/>
            <x v="4"/>
            <x v="5"/>
          </reference>
          <reference field="1" count="3" selected="0">
            <x v="0"/>
            <x v="1"/>
            <x v="2"/>
          </reference>
          <reference field="2" count="1" selected="0">
            <x v="3"/>
          </reference>
        </references>
      </pivotArea>
    </format>
    <format dxfId="23">
      <pivotArea dataOnly="0" labelOnly="1" fieldPosition="0">
        <references count="2">
          <reference field="0" count="6">
            <x v="0"/>
            <x v="1"/>
            <x v="2"/>
            <x v="3"/>
            <x v="4"/>
            <x v="5"/>
          </reference>
          <reference field="2" count="1" selected="0">
            <x v="0"/>
          </reference>
        </references>
      </pivotArea>
    </format>
    <format dxfId="21">
      <pivotArea dataOnly="0" labelOnly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9">
      <pivotArea dataOnly="0" labelOnly="1" fieldPosition="0">
        <references count="2">
          <reference field="0" count="6">
            <x v="0"/>
            <x v="1"/>
            <x v="2"/>
            <x v="3"/>
            <x v="4"/>
            <x v="5"/>
          </reference>
          <reference field="2" count="1" selected="0">
            <x v="2"/>
          </reference>
        </references>
      </pivotArea>
    </format>
    <format dxfId="17">
      <pivotArea dataOnly="0" labelOnly="1" fieldPosition="0">
        <references count="2">
          <reference field="0" count="5">
            <x v="1"/>
            <x v="2"/>
            <x v="3"/>
            <x v="4"/>
            <x v="5"/>
          </reference>
          <reference field="2" count="1" selected="0">
            <x v="3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  <reference field="1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workbookViewId="0">
      <selection activeCell="O25" sqref="O25"/>
    </sheetView>
  </sheetViews>
  <sheetFormatPr defaultRowHeight="15"/>
  <cols>
    <col min="1" max="1" width="6.7109375" bestFit="1" customWidth="1"/>
    <col min="2" max="2" width="9.5703125" bestFit="1" customWidth="1"/>
    <col min="3" max="3" width="5.7109375" bestFit="1" customWidth="1"/>
    <col min="4" max="4" width="13.42578125" bestFit="1" customWidth="1"/>
    <col min="5" max="5" width="20.5703125" bestFit="1" customWidth="1"/>
    <col min="6" max="6" width="15.140625" bestFit="1" customWidth="1"/>
    <col min="7" max="7" width="8.42578125" bestFit="1" customWidth="1"/>
    <col min="8" max="8" width="7.5703125" bestFit="1" customWidth="1"/>
    <col min="9" max="9" width="18.140625" bestFit="1" customWidth="1"/>
    <col min="10" max="10" width="7.7109375" bestFit="1" customWidth="1"/>
    <col min="15" max="15" width="15.28515625" bestFit="1" customWidth="1"/>
    <col min="16" max="16" width="16.28515625" bestFit="1" customWidth="1"/>
    <col min="17" max="17" width="15.28515625" bestFit="1" customWidth="1"/>
    <col min="18" max="20" width="6" customWidth="1"/>
    <col min="21" max="21" width="11.28515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Q1" s="2" t="s">
        <v>2</v>
      </c>
      <c r="R1" t="s">
        <v>14</v>
      </c>
    </row>
    <row r="2" spans="1:23">
      <c r="A2" s="1">
        <v>6</v>
      </c>
      <c r="B2" s="1">
        <v>70</v>
      </c>
      <c r="C2" s="1">
        <v>3</v>
      </c>
      <c r="D2" s="1">
        <v>1000000</v>
      </c>
      <c r="E2" s="1">
        <v>2231527</v>
      </c>
      <c r="F2" s="1">
        <v>139</v>
      </c>
      <c r="G2" s="1">
        <v>33.6</v>
      </c>
      <c r="H2" s="1">
        <v>-82</v>
      </c>
      <c r="I2" s="1">
        <v>29</v>
      </c>
      <c r="J2" s="1">
        <v>36</v>
      </c>
    </row>
    <row r="3" spans="1:23">
      <c r="A3" s="1">
        <v>7</v>
      </c>
      <c r="B3" s="1">
        <v>65</v>
      </c>
      <c r="C3" s="1">
        <v>3</v>
      </c>
      <c r="D3" s="1">
        <v>1000000</v>
      </c>
      <c r="E3" s="1">
        <v>2022745</v>
      </c>
      <c r="F3" s="1">
        <v>125</v>
      </c>
      <c r="G3" s="1">
        <v>31</v>
      </c>
      <c r="H3" s="1">
        <v>-78</v>
      </c>
      <c r="I3" s="1">
        <v>32</v>
      </c>
      <c r="J3" s="1">
        <v>36</v>
      </c>
      <c r="Q3" s="2" t="s">
        <v>12</v>
      </c>
      <c r="R3" s="2" t="s">
        <v>13</v>
      </c>
    </row>
    <row r="4" spans="1:23">
      <c r="A4" s="1">
        <v>6</v>
      </c>
      <c r="B4" s="1">
        <v>65</v>
      </c>
      <c r="C4" s="1">
        <v>3</v>
      </c>
      <c r="D4" s="1">
        <v>1000000</v>
      </c>
      <c r="E4" s="1">
        <v>1953974</v>
      </c>
      <c r="F4" s="1">
        <v>121</v>
      </c>
      <c r="G4" s="1">
        <v>30.3</v>
      </c>
      <c r="H4" s="1">
        <v>-80</v>
      </c>
      <c r="I4" s="1">
        <v>36</v>
      </c>
      <c r="J4" s="1">
        <v>36</v>
      </c>
      <c r="Q4" s="2" t="s">
        <v>10</v>
      </c>
      <c r="R4">
        <v>60</v>
      </c>
      <c r="S4">
        <v>65</v>
      </c>
      <c r="T4">
        <v>70</v>
      </c>
      <c r="U4">
        <v>75</v>
      </c>
      <c r="V4">
        <v>80</v>
      </c>
      <c r="W4" t="s">
        <v>11</v>
      </c>
    </row>
    <row r="5" spans="1:23">
      <c r="A5" s="1">
        <v>6</v>
      </c>
      <c r="B5" s="1">
        <v>60</v>
      </c>
      <c r="C5" s="1">
        <v>3</v>
      </c>
      <c r="D5" s="1">
        <v>1000000</v>
      </c>
      <c r="E5" s="1">
        <v>1950713</v>
      </c>
      <c r="F5" s="1">
        <v>121</v>
      </c>
      <c r="G5" s="1">
        <v>30.2</v>
      </c>
      <c r="H5" s="1">
        <v>-79</v>
      </c>
      <c r="I5" s="1">
        <v>35</v>
      </c>
      <c r="J5" s="1">
        <v>36</v>
      </c>
      <c r="Q5" s="3">
        <v>5</v>
      </c>
      <c r="R5" s="4">
        <v>25.3</v>
      </c>
      <c r="S5" s="4">
        <v>25.8</v>
      </c>
      <c r="T5" s="4">
        <v>23.1</v>
      </c>
      <c r="U5" s="4">
        <v>24.4</v>
      </c>
      <c r="V5" s="4">
        <v>21.8</v>
      </c>
      <c r="W5" s="4">
        <v>120.39999999999999</v>
      </c>
    </row>
    <row r="6" spans="1:23">
      <c r="A6" s="1">
        <v>7</v>
      </c>
      <c r="B6" s="1">
        <v>60</v>
      </c>
      <c r="C6" s="1">
        <v>3</v>
      </c>
      <c r="D6" s="1">
        <v>1000000</v>
      </c>
      <c r="E6" s="1">
        <v>1891128</v>
      </c>
      <c r="F6" s="1">
        <v>115</v>
      </c>
      <c r="G6" s="1">
        <v>29.1</v>
      </c>
      <c r="H6" s="1">
        <v>-79</v>
      </c>
      <c r="I6" s="1">
        <v>34</v>
      </c>
      <c r="J6" s="1">
        <v>36</v>
      </c>
      <c r="Q6" s="3">
        <v>6</v>
      </c>
      <c r="R6" s="4">
        <v>30.2</v>
      </c>
      <c r="S6" s="4">
        <v>30.3</v>
      </c>
      <c r="T6" s="4">
        <v>33.6</v>
      </c>
      <c r="U6" s="4"/>
      <c r="V6" s="4"/>
      <c r="W6" s="4">
        <v>94.1</v>
      </c>
    </row>
    <row r="7" spans="1:23">
      <c r="A7" s="1">
        <v>5</v>
      </c>
      <c r="B7" s="1">
        <v>65</v>
      </c>
      <c r="C7" s="1">
        <v>3</v>
      </c>
      <c r="D7" s="1">
        <v>1000000</v>
      </c>
      <c r="E7" s="1">
        <v>1747782</v>
      </c>
      <c r="F7" s="1">
        <v>95</v>
      </c>
      <c r="G7" s="1">
        <v>25.8</v>
      </c>
      <c r="H7" s="1">
        <v>-83</v>
      </c>
      <c r="I7" s="1">
        <v>36</v>
      </c>
      <c r="J7" s="1">
        <v>35</v>
      </c>
      <c r="Q7" s="3">
        <v>7</v>
      </c>
      <c r="R7" s="4">
        <v>29.1</v>
      </c>
      <c r="S7" s="4">
        <v>31</v>
      </c>
      <c r="T7" s="4">
        <v>25.4</v>
      </c>
      <c r="U7" s="4"/>
      <c r="V7" s="4"/>
      <c r="W7" s="4">
        <v>85.5</v>
      </c>
    </row>
    <row r="8" spans="1:23">
      <c r="A8" s="1">
        <v>7</v>
      </c>
      <c r="B8" s="1">
        <v>70</v>
      </c>
      <c r="C8" s="1">
        <v>3</v>
      </c>
      <c r="D8" s="1">
        <v>1000000</v>
      </c>
      <c r="E8" s="1">
        <v>1790802</v>
      </c>
      <c r="F8" s="1">
        <v>97</v>
      </c>
      <c r="G8" s="1">
        <v>25.4</v>
      </c>
      <c r="H8" s="1">
        <v>-79</v>
      </c>
      <c r="I8" s="1">
        <v>37</v>
      </c>
      <c r="J8" s="1">
        <v>36</v>
      </c>
      <c r="Q8" s="3">
        <v>8</v>
      </c>
      <c r="R8" s="4">
        <v>18.3</v>
      </c>
      <c r="S8" s="4">
        <v>18.8</v>
      </c>
      <c r="T8" s="4">
        <v>18.7</v>
      </c>
      <c r="U8" s="4"/>
      <c r="V8" s="4"/>
      <c r="W8" s="4">
        <v>55.8</v>
      </c>
    </row>
    <row r="9" spans="1:23">
      <c r="A9" s="1">
        <v>5</v>
      </c>
      <c r="B9" s="1">
        <v>60</v>
      </c>
      <c r="C9" s="1">
        <v>3</v>
      </c>
      <c r="D9" s="1">
        <v>1000000</v>
      </c>
      <c r="E9" s="1">
        <v>1728936</v>
      </c>
      <c r="F9" s="1">
        <v>93</v>
      </c>
      <c r="G9" s="1">
        <v>25.3</v>
      </c>
      <c r="H9" s="1">
        <v>-81</v>
      </c>
      <c r="I9" s="1">
        <v>34</v>
      </c>
      <c r="J9" s="1">
        <v>35</v>
      </c>
      <c r="Q9" s="3">
        <v>9</v>
      </c>
      <c r="R9" s="4">
        <v>20.399999999999999</v>
      </c>
      <c r="S9" s="4">
        <v>20.5</v>
      </c>
      <c r="T9" s="4">
        <v>18.7</v>
      </c>
      <c r="U9" s="4"/>
      <c r="V9" s="4"/>
      <c r="W9" s="4">
        <v>59.599999999999994</v>
      </c>
    </row>
    <row r="10" spans="1:23">
      <c r="A10" s="1">
        <v>5</v>
      </c>
      <c r="B10" s="1">
        <v>75</v>
      </c>
      <c r="C10" s="1">
        <v>3</v>
      </c>
      <c r="D10" s="1">
        <v>1000000</v>
      </c>
      <c r="E10" s="1">
        <v>1751720</v>
      </c>
      <c r="F10" s="1">
        <v>89</v>
      </c>
      <c r="G10" s="1">
        <v>24.4</v>
      </c>
      <c r="H10" s="1">
        <v>-85</v>
      </c>
      <c r="I10" s="1">
        <v>38</v>
      </c>
      <c r="J10" s="1">
        <v>35</v>
      </c>
      <c r="Q10" s="3">
        <v>10</v>
      </c>
      <c r="R10" s="4">
        <v>20.100000000000001</v>
      </c>
      <c r="S10" s="4">
        <v>20.100000000000001</v>
      </c>
      <c r="T10" s="4">
        <v>19.8</v>
      </c>
      <c r="U10" s="4">
        <v>19.399999999999999</v>
      </c>
      <c r="V10" s="4">
        <v>21.4</v>
      </c>
      <c r="W10" s="4">
        <v>100.80000000000001</v>
      </c>
    </row>
    <row r="11" spans="1:23">
      <c r="A11" s="1">
        <v>5</v>
      </c>
      <c r="B11" s="1">
        <v>70</v>
      </c>
      <c r="C11" s="1">
        <v>3</v>
      </c>
      <c r="D11" s="1">
        <v>1000000</v>
      </c>
      <c r="E11" s="1">
        <v>1689613</v>
      </c>
      <c r="F11" s="1">
        <v>83</v>
      </c>
      <c r="G11" s="1">
        <v>23.1</v>
      </c>
      <c r="H11" s="1">
        <v>-82</v>
      </c>
      <c r="I11" s="1">
        <v>38</v>
      </c>
      <c r="J11" s="1">
        <v>35</v>
      </c>
      <c r="Q11" s="3">
        <v>15</v>
      </c>
      <c r="R11" s="4">
        <v>15.6</v>
      </c>
      <c r="S11" s="4">
        <v>13.4</v>
      </c>
      <c r="T11" s="4">
        <v>12.1</v>
      </c>
      <c r="U11" s="4">
        <v>17.100000000000001</v>
      </c>
      <c r="V11" s="4">
        <v>21.2</v>
      </c>
      <c r="W11" s="4">
        <v>79.400000000000006</v>
      </c>
    </row>
    <row r="12" spans="1:23">
      <c r="A12" s="1">
        <v>30</v>
      </c>
      <c r="B12" s="1">
        <v>75</v>
      </c>
      <c r="C12" s="1">
        <v>3</v>
      </c>
      <c r="D12" s="1">
        <v>1000000</v>
      </c>
      <c r="E12" s="1">
        <v>1746812</v>
      </c>
      <c r="F12" s="1">
        <v>78</v>
      </c>
      <c r="G12" s="1">
        <v>21.9</v>
      </c>
      <c r="H12" s="1">
        <v>-57</v>
      </c>
      <c r="I12" s="1">
        <v>20</v>
      </c>
      <c r="J12" s="1">
        <v>35</v>
      </c>
      <c r="Q12" s="3">
        <v>20</v>
      </c>
      <c r="R12" s="4">
        <v>14.1</v>
      </c>
      <c r="S12" s="4">
        <v>15.4</v>
      </c>
      <c r="T12" s="4">
        <v>13.8</v>
      </c>
      <c r="U12" s="4">
        <v>15.9</v>
      </c>
      <c r="V12" s="4">
        <v>20.5</v>
      </c>
      <c r="W12" s="4">
        <v>79.699999999999989</v>
      </c>
    </row>
    <row r="13" spans="1:23">
      <c r="A13" s="1">
        <v>5</v>
      </c>
      <c r="B13" s="1">
        <v>80</v>
      </c>
      <c r="C13" s="1">
        <v>3</v>
      </c>
      <c r="D13" s="1">
        <v>1000000</v>
      </c>
      <c r="E13" s="1">
        <v>1642932</v>
      </c>
      <c r="F13" s="1">
        <v>78</v>
      </c>
      <c r="G13" s="1">
        <v>21.8</v>
      </c>
      <c r="H13" s="1">
        <v>-86</v>
      </c>
      <c r="I13" s="1">
        <v>39</v>
      </c>
      <c r="J13" s="1">
        <v>35</v>
      </c>
      <c r="Q13" s="3">
        <v>25</v>
      </c>
      <c r="R13" s="4">
        <v>19.600000000000001</v>
      </c>
      <c r="S13" s="4">
        <v>20.6</v>
      </c>
      <c r="T13" s="4">
        <v>19.8</v>
      </c>
      <c r="U13" s="4">
        <v>18</v>
      </c>
      <c r="V13" s="4">
        <v>21.4</v>
      </c>
      <c r="W13" s="4">
        <v>99.4</v>
      </c>
    </row>
    <row r="14" spans="1:23">
      <c r="A14" s="1">
        <v>10</v>
      </c>
      <c r="B14" s="1">
        <v>80</v>
      </c>
      <c r="C14" s="1">
        <v>3</v>
      </c>
      <c r="D14" s="1">
        <v>1000000</v>
      </c>
      <c r="E14" s="1">
        <v>1668177</v>
      </c>
      <c r="F14" s="1">
        <v>76</v>
      </c>
      <c r="G14" s="1">
        <v>21.4</v>
      </c>
      <c r="H14" s="1">
        <v>-79</v>
      </c>
      <c r="I14" s="1">
        <v>35</v>
      </c>
      <c r="J14" s="1">
        <v>35</v>
      </c>
      <c r="Q14" s="3">
        <v>30</v>
      </c>
      <c r="R14" s="4">
        <v>20.8</v>
      </c>
      <c r="S14" s="4">
        <v>21.1</v>
      </c>
      <c r="T14" s="4">
        <v>20.3</v>
      </c>
      <c r="U14" s="4">
        <v>21.9</v>
      </c>
      <c r="V14" s="4">
        <v>20.5</v>
      </c>
      <c r="W14" s="4">
        <v>104.6</v>
      </c>
    </row>
    <row r="15" spans="1:23">
      <c r="A15" s="1">
        <v>25</v>
      </c>
      <c r="B15" s="1">
        <v>80</v>
      </c>
      <c r="C15" s="1">
        <v>3</v>
      </c>
      <c r="D15" s="1">
        <v>1000000</v>
      </c>
      <c r="E15" s="1">
        <v>1780582</v>
      </c>
      <c r="F15" s="1">
        <v>76</v>
      </c>
      <c r="G15" s="1">
        <v>21.4</v>
      </c>
      <c r="H15" s="1">
        <v>-61</v>
      </c>
      <c r="I15" s="1">
        <v>23</v>
      </c>
      <c r="J15" s="1">
        <v>35</v>
      </c>
      <c r="Q15" s="3" t="s">
        <v>11</v>
      </c>
      <c r="R15" s="4">
        <v>213.49999999999997</v>
      </c>
      <c r="S15" s="4">
        <v>217</v>
      </c>
      <c r="T15" s="4">
        <v>205.30000000000004</v>
      </c>
      <c r="U15" s="4">
        <v>116.69999999999999</v>
      </c>
      <c r="V15" s="4">
        <v>126.80000000000001</v>
      </c>
      <c r="W15" s="4">
        <v>879.3</v>
      </c>
    </row>
    <row r="16" spans="1:23">
      <c r="A16" s="1">
        <v>15</v>
      </c>
      <c r="B16" s="1">
        <v>80</v>
      </c>
      <c r="C16" s="1">
        <v>3</v>
      </c>
      <c r="D16" s="1">
        <v>1000000</v>
      </c>
      <c r="E16" s="1">
        <v>1777905</v>
      </c>
      <c r="F16" s="1">
        <v>75</v>
      </c>
      <c r="G16" s="1">
        <v>21.2</v>
      </c>
      <c r="H16" s="1">
        <v>-76</v>
      </c>
      <c r="I16" s="1">
        <v>34</v>
      </c>
      <c r="J16" s="1">
        <v>35</v>
      </c>
    </row>
    <row r="17" spans="1:10">
      <c r="A17" s="1">
        <v>30</v>
      </c>
      <c r="B17" s="1">
        <v>65</v>
      </c>
      <c r="C17" s="1">
        <v>3</v>
      </c>
      <c r="D17" s="1">
        <v>1000000</v>
      </c>
      <c r="E17" s="1">
        <v>1662345</v>
      </c>
      <c r="F17" s="1">
        <v>75</v>
      </c>
      <c r="G17" s="1">
        <v>21.1</v>
      </c>
      <c r="H17" s="1">
        <v>-53</v>
      </c>
      <c r="I17" s="1">
        <v>20</v>
      </c>
      <c r="J17" s="1">
        <v>35</v>
      </c>
    </row>
    <row r="18" spans="1:10">
      <c r="A18" s="1">
        <v>30</v>
      </c>
      <c r="B18" s="1">
        <v>60</v>
      </c>
      <c r="C18" s="1">
        <v>3</v>
      </c>
      <c r="D18" s="1">
        <v>1000000</v>
      </c>
      <c r="E18" s="1">
        <v>1657997</v>
      </c>
      <c r="F18" s="1">
        <v>74</v>
      </c>
      <c r="G18" s="1">
        <v>20.8</v>
      </c>
      <c r="H18" s="1">
        <v>-51</v>
      </c>
      <c r="I18" s="1">
        <v>20</v>
      </c>
      <c r="J18" s="1">
        <v>35</v>
      </c>
    </row>
    <row r="19" spans="1:10">
      <c r="A19" s="1">
        <v>25</v>
      </c>
      <c r="B19" s="1">
        <v>65</v>
      </c>
      <c r="C19" s="1">
        <v>3</v>
      </c>
      <c r="D19" s="1">
        <v>1000000</v>
      </c>
      <c r="E19" s="1">
        <v>1665750</v>
      </c>
      <c r="F19" s="1">
        <v>73</v>
      </c>
      <c r="G19" s="1">
        <v>20.6</v>
      </c>
      <c r="H19" s="1">
        <v>-58</v>
      </c>
      <c r="I19" s="1">
        <v>23</v>
      </c>
      <c r="J19" s="1">
        <v>35</v>
      </c>
    </row>
    <row r="20" spans="1:10">
      <c r="A20" s="1">
        <v>9</v>
      </c>
      <c r="B20" s="1">
        <v>65</v>
      </c>
      <c r="C20" s="1">
        <v>3</v>
      </c>
      <c r="D20" s="1">
        <v>1000000</v>
      </c>
      <c r="E20" s="1">
        <v>1828960</v>
      </c>
      <c r="F20" s="1">
        <v>75</v>
      </c>
      <c r="G20" s="1">
        <v>20.5</v>
      </c>
      <c r="H20" s="1">
        <v>-75</v>
      </c>
      <c r="I20" s="1">
        <v>41</v>
      </c>
      <c r="J20" s="1">
        <v>36</v>
      </c>
    </row>
    <row r="21" spans="1:10">
      <c r="A21" s="1">
        <v>20</v>
      </c>
      <c r="B21" s="1">
        <v>80</v>
      </c>
      <c r="C21" s="1">
        <v>3</v>
      </c>
      <c r="D21" s="1">
        <v>1000000</v>
      </c>
      <c r="E21" s="1">
        <v>1735060</v>
      </c>
      <c r="F21" s="1">
        <v>72</v>
      </c>
      <c r="G21" s="1">
        <v>20.5</v>
      </c>
      <c r="H21" s="1">
        <v>-66</v>
      </c>
      <c r="I21" s="1">
        <v>25</v>
      </c>
      <c r="J21" s="1">
        <v>35</v>
      </c>
    </row>
    <row r="22" spans="1:10">
      <c r="A22" s="1">
        <v>30</v>
      </c>
      <c r="B22" s="1">
        <v>80</v>
      </c>
      <c r="C22" s="1">
        <v>3</v>
      </c>
      <c r="D22" s="1">
        <v>1000000</v>
      </c>
      <c r="E22" s="1">
        <v>1733686</v>
      </c>
      <c r="F22" s="1">
        <v>72</v>
      </c>
      <c r="G22" s="1">
        <v>20.5</v>
      </c>
      <c r="H22" s="1">
        <v>-59</v>
      </c>
      <c r="I22" s="1">
        <v>22</v>
      </c>
      <c r="J22" s="1">
        <v>35</v>
      </c>
    </row>
    <row r="23" spans="1:10">
      <c r="A23" s="1">
        <v>9</v>
      </c>
      <c r="B23" s="1">
        <v>60</v>
      </c>
      <c r="C23" s="1">
        <v>3</v>
      </c>
      <c r="D23" s="1">
        <v>1000000</v>
      </c>
      <c r="E23" s="1">
        <v>1775830</v>
      </c>
      <c r="F23" s="1">
        <v>75</v>
      </c>
      <c r="G23" s="1">
        <v>20.399999999999999</v>
      </c>
      <c r="H23" s="1">
        <v>-75</v>
      </c>
      <c r="I23" s="1">
        <v>41</v>
      </c>
      <c r="J23" s="1">
        <v>36</v>
      </c>
    </row>
    <row r="24" spans="1:10">
      <c r="A24" s="1">
        <v>30</v>
      </c>
      <c r="B24" s="1">
        <v>70</v>
      </c>
      <c r="C24" s="1">
        <v>3</v>
      </c>
      <c r="D24" s="1">
        <v>1000000</v>
      </c>
      <c r="E24" s="1">
        <v>1647041</v>
      </c>
      <c r="F24" s="1">
        <v>71</v>
      </c>
      <c r="G24" s="1">
        <v>20.3</v>
      </c>
      <c r="H24" s="1">
        <v>-55</v>
      </c>
      <c r="I24" s="1">
        <v>20</v>
      </c>
      <c r="J24" s="1">
        <v>35</v>
      </c>
    </row>
    <row r="25" spans="1:10">
      <c r="A25" s="1">
        <v>10</v>
      </c>
      <c r="B25" s="1">
        <v>65</v>
      </c>
      <c r="C25" s="1">
        <v>3</v>
      </c>
      <c r="D25" s="1">
        <v>1000000</v>
      </c>
      <c r="E25" s="1">
        <v>1887234</v>
      </c>
      <c r="F25" s="1">
        <v>70</v>
      </c>
      <c r="G25" s="1">
        <v>20.100000000000001</v>
      </c>
      <c r="H25" s="1">
        <v>-77</v>
      </c>
      <c r="I25" s="1">
        <v>38</v>
      </c>
      <c r="J25" s="1">
        <v>35</v>
      </c>
    </row>
    <row r="26" spans="1:10">
      <c r="A26" s="1">
        <v>10</v>
      </c>
      <c r="B26" s="1">
        <v>60</v>
      </c>
      <c r="C26" s="1">
        <v>3</v>
      </c>
      <c r="D26" s="1">
        <v>1000000</v>
      </c>
      <c r="E26" s="1">
        <v>1833383</v>
      </c>
      <c r="F26" s="1">
        <v>71</v>
      </c>
      <c r="G26" s="1">
        <v>20.100000000000001</v>
      </c>
      <c r="H26" s="1">
        <v>-79</v>
      </c>
      <c r="I26" s="1">
        <v>40</v>
      </c>
      <c r="J26" s="1">
        <v>35</v>
      </c>
    </row>
    <row r="27" spans="1:10">
      <c r="A27" s="1">
        <v>10</v>
      </c>
      <c r="B27" s="1">
        <v>70</v>
      </c>
      <c r="C27" s="1">
        <v>3</v>
      </c>
      <c r="D27" s="1">
        <v>1000000</v>
      </c>
      <c r="E27" s="1">
        <v>1709548</v>
      </c>
      <c r="F27" s="1">
        <v>70</v>
      </c>
      <c r="G27" s="1">
        <v>19.8</v>
      </c>
      <c r="H27" s="1">
        <v>-76</v>
      </c>
      <c r="I27" s="1">
        <v>37</v>
      </c>
      <c r="J27" s="1">
        <v>35</v>
      </c>
    </row>
    <row r="28" spans="1:10">
      <c r="A28" s="1">
        <v>25</v>
      </c>
      <c r="B28" s="1">
        <v>70</v>
      </c>
      <c r="C28" s="1">
        <v>3</v>
      </c>
      <c r="D28" s="1">
        <v>1000000</v>
      </c>
      <c r="E28" s="1">
        <v>1629875</v>
      </c>
      <c r="F28" s="1">
        <v>69</v>
      </c>
      <c r="G28" s="1">
        <v>19.8</v>
      </c>
      <c r="H28" s="1">
        <v>-60</v>
      </c>
      <c r="I28" s="1">
        <v>24</v>
      </c>
      <c r="J28" s="1">
        <v>35</v>
      </c>
    </row>
    <row r="29" spans="1:10">
      <c r="A29" s="1">
        <v>25</v>
      </c>
      <c r="B29" s="1">
        <v>60</v>
      </c>
      <c r="C29" s="1">
        <v>3</v>
      </c>
      <c r="D29" s="1">
        <v>1000000</v>
      </c>
      <c r="E29" s="1">
        <v>1645005</v>
      </c>
      <c r="F29" s="1">
        <v>69</v>
      </c>
      <c r="G29" s="1">
        <v>19.600000000000001</v>
      </c>
      <c r="H29" s="1">
        <v>-58</v>
      </c>
      <c r="I29" s="1">
        <v>25</v>
      </c>
      <c r="J29" s="1">
        <v>35</v>
      </c>
    </row>
    <row r="30" spans="1:10">
      <c r="A30" s="1">
        <v>10</v>
      </c>
      <c r="B30" s="1">
        <v>75</v>
      </c>
      <c r="C30" s="1">
        <v>3</v>
      </c>
      <c r="D30" s="1">
        <v>1000000</v>
      </c>
      <c r="E30" s="1">
        <v>1649774</v>
      </c>
      <c r="F30" s="1">
        <v>68</v>
      </c>
      <c r="G30" s="1">
        <v>19.399999999999999</v>
      </c>
      <c r="H30" s="1">
        <v>-77</v>
      </c>
      <c r="I30" s="1">
        <v>34</v>
      </c>
      <c r="J30" s="1">
        <v>35</v>
      </c>
    </row>
    <row r="31" spans="1:10">
      <c r="A31" s="1">
        <v>8</v>
      </c>
      <c r="B31" s="1">
        <v>65</v>
      </c>
      <c r="C31" s="1">
        <v>3</v>
      </c>
      <c r="D31" s="1">
        <v>1000000</v>
      </c>
      <c r="E31" s="1">
        <v>1692009</v>
      </c>
      <c r="F31" s="1">
        <v>68</v>
      </c>
      <c r="G31" s="1">
        <v>18.8</v>
      </c>
      <c r="H31" s="1">
        <v>-79</v>
      </c>
      <c r="I31" s="1">
        <v>37</v>
      </c>
      <c r="J31" s="1">
        <v>36</v>
      </c>
    </row>
    <row r="32" spans="1:10">
      <c r="A32" s="1">
        <v>8</v>
      </c>
      <c r="B32" s="1">
        <v>70</v>
      </c>
      <c r="C32" s="1">
        <v>3</v>
      </c>
      <c r="D32" s="1">
        <v>1000000</v>
      </c>
      <c r="E32" s="1">
        <v>1628595</v>
      </c>
      <c r="F32" s="1">
        <v>67</v>
      </c>
      <c r="G32" s="1">
        <v>18.7</v>
      </c>
      <c r="H32" s="1">
        <v>-75</v>
      </c>
      <c r="I32" s="1">
        <v>37</v>
      </c>
      <c r="J32" s="1">
        <v>36</v>
      </c>
    </row>
    <row r="33" spans="1:10">
      <c r="A33" s="1">
        <v>9</v>
      </c>
      <c r="B33" s="1">
        <v>70</v>
      </c>
      <c r="C33" s="1">
        <v>3</v>
      </c>
      <c r="D33" s="1">
        <v>1000000</v>
      </c>
      <c r="E33" s="1">
        <v>1584052</v>
      </c>
      <c r="F33" s="1">
        <v>67</v>
      </c>
      <c r="G33" s="1">
        <v>18.7</v>
      </c>
      <c r="H33" s="1">
        <v>-75</v>
      </c>
      <c r="I33" s="1">
        <v>44</v>
      </c>
      <c r="J33" s="1">
        <v>36</v>
      </c>
    </row>
    <row r="34" spans="1:10">
      <c r="A34" s="1">
        <v>8</v>
      </c>
      <c r="B34" s="1">
        <v>60</v>
      </c>
      <c r="C34" s="1">
        <v>3</v>
      </c>
      <c r="D34" s="1">
        <v>1000000</v>
      </c>
      <c r="E34" s="1">
        <v>1578438</v>
      </c>
      <c r="F34" s="1">
        <v>66</v>
      </c>
      <c r="G34" s="1">
        <v>18.3</v>
      </c>
      <c r="H34" s="1">
        <v>-76</v>
      </c>
      <c r="I34" s="1">
        <v>37</v>
      </c>
      <c r="J34" s="1">
        <v>36</v>
      </c>
    </row>
    <row r="35" spans="1:10">
      <c r="A35" s="1">
        <v>25</v>
      </c>
      <c r="B35" s="1">
        <v>75</v>
      </c>
      <c r="C35" s="1">
        <v>3</v>
      </c>
      <c r="D35" s="1">
        <v>1000000</v>
      </c>
      <c r="E35" s="1">
        <v>1620258</v>
      </c>
      <c r="F35" s="1">
        <v>62</v>
      </c>
      <c r="G35" s="1">
        <v>18</v>
      </c>
      <c r="H35" s="1">
        <v>-61</v>
      </c>
      <c r="I35" s="1">
        <v>27</v>
      </c>
      <c r="J35" s="1">
        <v>35</v>
      </c>
    </row>
    <row r="36" spans="1:10">
      <c r="A36" s="1">
        <v>15</v>
      </c>
      <c r="B36" s="1">
        <v>75</v>
      </c>
      <c r="C36" s="1">
        <v>3</v>
      </c>
      <c r="D36" s="1">
        <v>1000000</v>
      </c>
      <c r="E36" s="1">
        <v>1583611</v>
      </c>
      <c r="F36" s="1">
        <v>59</v>
      </c>
      <c r="G36" s="1">
        <v>17.100000000000001</v>
      </c>
      <c r="H36" s="1">
        <v>-75</v>
      </c>
      <c r="I36" s="1">
        <v>32</v>
      </c>
      <c r="J36" s="1">
        <v>35</v>
      </c>
    </row>
    <row r="37" spans="1:10">
      <c r="A37" s="1">
        <v>20</v>
      </c>
      <c r="B37" s="1">
        <v>75</v>
      </c>
      <c r="C37" s="1">
        <v>3</v>
      </c>
      <c r="D37" s="1">
        <v>1000000</v>
      </c>
      <c r="E37" s="1">
        <v>1519693</v>
      </c>
      <c r="F37" s="1">
        <v>54</v>
      </c>
      <c r="G37" s="1">
        <v>15.9</v>
      </c>
      <c r="H37" s="1">
        <v>-70</v>
      </c>
      <c r="I37" s="1">
        <v>30</v>
      </c>
      <c r="J37" s="1">
        <v>35</v>
      </c>
    </row>
    <row r="38" spans="1:10">
      <c r="A38" s="1">
        <v>15</v>
      </c>
      <c r="B38" s="1">
        <v>60</v>
      </c>
      <c r="C38" s="1">
        <v>3</v>
      </c>
      <c r="D38" s="1">
        <v>1000000</v>
      </c>
      <c r="E38" s="1">
        <v>1537945</v>
      </c>
      <c r="F38" s="1">
        <v>52</v>
      </c>
      <c r="G38" s="1">
        <v>15.6</v>
      </c>
      <c r="H38" s="1">
        <v>-70</v>
      </c>
      <c r="I38" s="1">
        <v>34</v>
      </c>
      <c r="J38" s="1">
        <v>35</v>
      </c>
    </row>
    <row r="39" spans="1:10">
      <c r="A39" s="1">
        <v>20</v>
      </c>
      <c r="B39" s="1">
        <v>65</v>
      </c>
      <c r="C39" s="1">
        <v>3</v>
      </c>
      <c r="D39" s="1">
        <v>1000000</v>
      </c>
      <c r="E39" s="1">
        <v>1512820</v>
      </c>
      <c r="F39" s="1">
        <v>52</v>
      </c>
      <c r="G39" s="1">
        <v>15.4</v>
      </c>
      <c r="H39" s="1">
        <v>-61</v>
      </c>
      <c r="I39" s="1">
        <v>28</v>
      </c>
      <c r="J39" s="1">
        <v>35</v>
      </c>
    </row>
    <row r="40" spans="1:10">
      <c r="A40" s="1">
        <v>20</v>
      </c>
      <c r="B40" s="1">
        <v>60</v>
      </c>
      <c r="C40" s="1">
        <v>3</v>
      </c>
      <c r="D40" s="1">
        <v>1000000</v>
      </c>
      <c r="E40" s="1">
        <v>1475238</v>
      </c>
      <c r="F40" s="1">
        <v>47</v>
      </c>
      <c r="G40" s="1">
        <v>14.1</v>
      </c>
      <c r="H40" s="1">
        <v>-65</v>
      </c>
      <c r="I40" s="1">
        <v>30</v>
      </c>
      <c r="J40" s="1">
        <v>35</v>
      </c>
    </row>
    <row r="41" spans="1:10">
      <c r="A41" s="1">
        <v>20</v>
      </c>
      <c r="B41" s="1">
        <v>70</v>
      </c>
      <c r="C41" s="1">
        <v>3</v>
      </c>
      <c r="D41" s="1">
        <v>1000000</v>
      </c>
      <c r="E41" s="1">
        <v>1438131</v>
      </c>
      <c r="F41" s="1">
        <v>46</v>
      </c>
      <c r="G41" s="1">
        <v>13.8</v>
      </c>
      <c r="H41" s="1">
        <v>-63</v>
      </c>
      <c r="I41" s="1">
        <v>29</v>
      </c>
      <c r="J41" s="1">
        <v>35</v>
      </c>
    </row>
    <row r="42" spans="1:10">
      <c r="A42" s="1">
        <v>15</v>
      </c>
      <c r="B42" s="1">
        <v>65</v>
      </c>
      <c r="C42" s="1">
        <v>3</v>
      </c>
      <c r="D42" s="1">
        <v>1000000</v>
      </c>
      <c r="E42" s="1">
        <v>1448049</v>
      </c>
      <c r="F42" s="1">
        <v>44</v>
      </c>
      <c r="G42" s="1">
        <v>13.4</v>
      </c>
      <c r="H42" s="1">
        <v>-69</v>
      </c>
      <c r="I42" s="1">
        <v>36</v>
      </c>
      <c r="J42" s="1">
        <v>35</v>
      </c>
    </row>
    <row r="43" spans="1:10">
      <c r="A43" s="1">
        <v>15</v>
      </c>
      <c r="B43" s="1">
        <v>70</v>
      </c>
      <c r="C43" s="1">
        <v>3</v>
      </c>
      <c r="D43" s="1">
        <v>1000000</v>
      </c>
      <c r="E43" s="1">
        <v>1406798</v>
      </c>
      <c r="F43" s="1">
        <v>40</v>
      </c>
      <c r="G43" s="1">
        <v>12.1</v>
      </c>
      <c r="H43" s="1">
        <v>-70</v>
      </c>
      <c r="I43" s="1">
        <v>36</v>
      </c>
      <c r="J43" s="1">
        <v>35</v>
      </c>
    </row>
  </sheetData>
  <conditionalFormatting pivot="1" sqref="R5:V1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2"/>
  <sheetViews>
    <sheetView tabSelected="1" zoomScale="115" zoomScaleNormal="115" workbookViewId="0">
      <selection activeCell="S33" sqref="S33"/>
    </sheetView>
  </sheetViews>
  <sheetFormatPr defaultRowHeight="15"/>
  <cols>
    <col min="1" max="1" width="6.7109375" bestFit="1" customWidth="1"/>
    <col min="2" max="2" width="9.5703125" customWidth="1"/>
    <col min="3" max="3" width="5.7109375" bestFit="1" customWidth="1"/>
    <col min="4" max="4" width="8.28515625" customWidth="1"/>
    <col min="5" max="5" width="13.140625" bestFit="1" customWidth="1"/>
    <col min="6" max="6" width="10.85546875" customWidth="1"/>
    <col min="7" max="7" width="8.42578125" bestFit="1" customWidth="1"/>
    <col min="8" max="8" width="7.5703125" bestFit="1" customWidth="1"/>
    <col min="9" max="9" width="11" customWidth="1"/>
    <col min="10" max="10" width="10.42578125" customWidth="1"/>
    <col min="12" max="12" width="6.85546875" bestFit="1" customWidth="1"/>
    <col min="17" max="17" width="11.28515625" customWidth="1"/>
    <col min="18" max="18" width="12.28515625" bestFit="1" customWidth="1"/>
    <col min="19" max="19" width="11.85546875" customWidth="1"/>
    <col min="20" max="21" width="7" customWidth="1"/>
    <col min="22" max="22" width="7.28515625" customWidth="1"/>
    <col min="23" max="23" width="11.28515625" bestFit="1" customWidth="1"/>
  </cols>
  <sheetData>
    <row r="1" spans="1:23" ht="55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23">
      <c r="A2" s="1">
        <v>20</v>
      </c>
      <c r="B2" s="1">
        <v>60</v>
      </c>
      <c r="C2" s="1">
        <v>3</v>
      </c>
      <c r="D2" s="1">
        <v>1000000</v>
      </c>
      <c r="E2" s="8">
        <v>2555467.04</v>
      </c>
      <c r="F2" s="6">
        <v>168.76</v>
      </c>
      <c r="G2" s="6">
        <v>40.35</v>
      </c>
      <c r="H2" s="6">
        <v>39.03</v>
      </c>
      <c r="I2" s="6">
        <v>21.64</v>
      </c>
      <c r="J2" s="1">
        <v>35</v>
      </c>
    </row>
    <row r="3" spans="1:23">
      <c r="A3" s="1">
        <v>20</v>
      </c>
      <c r="B3" s="1">
        <v>70</v>
      </c>
      <c r="C3" s="1">
        <v>3</v>
      </c>
      <c r="D3" s="1">
        <v>1000000</v>
      </c>
      <c r="E3" s="8">
        <v>2418093.86</v>
      </c>
      <c r="F3" s="6">
        <v>155.47999999999999</v>
      </c>
      <c r="G3" s="6">
        <v>37.93</v>
      </c>
      <c r="H3" s="6">
        <v>36.36</v>
      </c>
      <c r="I3" s="6">
        <v>22.24</v>
      </c>
      <c r="J3" s="1">
        <v>35</v>
      </c>
      <c r="Q3" s="2" t="s">
        <v>17</v>
      </c>
      <c r="S3" s="2" t="s">
        <v>16</v>
      </c>
    </row>
    <row r="4" spans="1:23">
      <c r="A4" s="1">
        <v>15</v>
      </c>
      <c r="B4" s="1">
        <v>60</v>
      </c>
      <c r="C4" s="1">
        <v>3</v>
      </c>
      <c r="D4" s="1">
        <v>1000000</v>
      </c>
      <c r="E4" s="8">
        <v>2388991.86</v>
      </c>
      <c r="F4" s="6">
        <v>153.80000000000001</v>
      </c>
      <c r="G4" s="6">
        <v>37.619999999999997</v>
      </c>
      <c r="H4" s="6">
        <v>35.78</v>
      </c>
      <c r="I4" s="6">
        <v>18.54</v>
      </c>
      <c r="J4" s="1">
        <v>35</v>
      </c>
      <c r="Q4" s="2" t="s">
        <v>17</v>
      </c>
      <c r="R4" s="2" t="s">
        <v>15</v>
      </c>
      <c r="S4" s="7">
        <v>60</v>
      </c>
      <c r="T4" s="7">
        <v>70</v>
      </c>
      <c r="U4" s="7">
        <v>80</v>
      </c>
      <c r="V4" s="7" t="s">
        <v>18</v>
      </c>
      <c r="W4" s="7" t="s">
        <v>11</v>
      </c>
    </row>
    <row r="5" spans="1:23">
      <c r="A5" s="1">
        <v>15</v>
      </c>
      <c r="B5" s="1">
        <v>70</v>
      </c>
      <c r="C5" s="1">
        <v>3</v>
      </c>
      <c r="D5" s="1">
        <v>1000000</v>
      </c>
      <c r="E5" s="8">
        <v>2373830.79</v>
      </c>
      <c r="F5" s="6">
        <v>151.32</v>
      </c>
      <c r="G5" s="6">
        <v>37.159999999999997</v>
      </c>
      <c r="H5" s="6">
        <v>35.47</v>
      </c>
      <c r="I5" s="6">
        <v>18.96</v>
      </c>
      <c r="J5" s="1">
        <v>35</v>
      </c>
      <c r="Q5" s="3">
        <v>3</v>
      </c>
      <c r="R5" s="10">
        <v>5</v>
      </c>
      <c r="S5" s="11">
        <v>25.1</v>
      </c>
      <c r="T5" s="11">
        <v>26.71</v>
      </c>
      <c r="U5" s="11">
        <v>27.1</v>
      </c>
      <c r="V5" s="5"/>
      <c r="W5" s="5">
        <v>78.91</v>
      </c>
    </row>
    <row r="6" spans="1:23">
      <c r="A6" s="1">
        <v>30</v>
      </c>
      <c r="B6" s="1">
        <v>60</v>
      </c>
      <c r="C6" s="1">
        <v>3</v>
      </c>
      <c r="D6" s="1">
        <v>1000000</v>
      </c>
      <c r="E6" s="8">
        <v>2278449.4</v>
      </c>
      <c r="F6" s="6">
        <v>148.58000000000001</v>
      </c>
      <c r="G6" s="6">
        <v>36.64</v>
      </c>
      <c r="H6" s="6">
        <v>33.54</v>
      </c>
      <c r="I6" s="6">
        <v>20.84</v>
      </c>
      <c r="J6" s="1">
        <v>35</v>
      </c>
      <c r="R6" s="10">
        <v>10</v>
      </c>
      <c r="S6" s="11">
        <v>33.61</v>
      </c>
      <c r="T6" s="11">
        <v>26.39</v>
      </c>
      <c r="U6" s="11">
        <v>24.72</v>
      </c>
      <c r="V6" s="5"/>
      <c r="W6" s="5">
        <v>84.72</v>
      </c>
    </row>
    <row r="7" spans="1:23">
      <c r="A7" s="1">
        <v>15</v>
      </c>
      <c r="B7" s="1">
        <v>80</v>
      </c>
      <c r="C7" s="1">
        <v>3</v>
      </c>
      <c r="D7" s="1">
        <v>1000000</v>
      </c>
      <c r="E7" s="8">
        <v>2288073.77</v>
      </c>
      <c r="F7" s="6">
        <v>146.25</v>
      </c>
      <c r="G7" s="6">
        <v>36.200000000000003</v>
      </c>
      <c r="H7" s="6">
        <v>33.74</v>
      </c>
      <c r="I7" s="6">
        <v>19</v>
      </c>
      <c r="J7" s="1">
        <v>35</v>
      </c>
      <c r="R7" s="10">
        <v>15</v>
      </c>
      <c r="S7" s="11">
        <v>37.619999999999997</v>
      </c>
      <c r="T7" s="11">
        <v>37.159999999999997</v>
      </c>
      <c r="U7" s="11">
        <v>36.200000000000003</v>
      </c>
      <c r="V7" s="5"/>
      <c r="W7" s="5">
        <v>110.98</v>
      </c>
    </row>
    <row r="8" spans="1:23">
      <c r="A8" s="1">
        <v>20</v>
      </c>
      <c r="B8" s="1">
        <v>80</v>
      </c>
      <c r="C8" s="1">
        <v>3</v>
      </c>
      <c r="D8" s="1">
        <v>1000000</v>
      </c>
      <c r="E8" s="8">
        <v>2300150.13</v>
      </c>
      <c r="F8" s="6">
        <v>146.19999999999999</v>
      </c>
      <c r="G8" s="6">
        <v>36.19</v>
      </c>
      <c r="H8" s="6">
        <v>33.979999999999997</v>
      </c>
      <c r="I8" s="6">
        <v>18.97</v>
      </c>
      <c r="J8" s="1">
        <v>35</v>
      </c>
      <c r="R8" s="10">
        <v>20</v>
      </c>
      <c r="S8" s="11">
        <v>40.35</v>
      </c>
      <c r="T8" s="11">
        <v>37.93</v>
      </c>
      <c r="U8" s="11">
        <v>36.19</v>
      </c>
      <c r="V8" s="5"/>
      <c r="W8" s="5">
        <v>114.47</v>
      </c>
    </row>
    <row r="9" spans="1:23">
      <c r="A9" s="1">
        <v>10</v>
      </c>
      <c r="B9" s="1">
        <v>60</v>
      </c>
      <c r="C9" s="1">
        <v>3</v>
      </c>
      <c r="D9" s="1">
        <v>1000000</v>
      </c>
      <c r="E9" s="8">
        <v>2227327.9500000002</v>
      </c>
      <c r="F9" s="6">
        <v>132.81</v>
      </c>
      <c r="G9" s="6">
        <v>33.61</v>
      </c>
      <c r="H9" s="6">
        <v>32.479999999999997</v>
      </c>
      <c r="I9" s="6">
        <v>22</v>
      </c>
      <c r="J9" s="1">
        <v>35</v>
      </c>
      <c r="R9" s="10">
        <v>25</v>
      </c>
      <c r="S9" s="11">
        <v>33.46</v>
      </c>
      <c r="T9" s="11">
        <v>32.39</v>
      </c>
      <c r="U9" s="11">
        <v>31.32</v>
      </c>
      <c r="V9" s="5"/>
      <c r="W9" s="5">
        <v>97.169999999999987</v>
      </c>
    </row>
    <row r="10" spans="1:23">
      <c r="A10" s="1">
        <v>25</v>
      </c>
      <c r="B10" s="1">
        <v>60</v>
      </c>
      <c r="C10" s="1">
        <v>3</v>
      </c>
      <c r="D10" s="1">
        <v>1000000</v>
      </c>
      <c r="E10" s="8">
        <v>2195151.15</v>
      </c>
      <c r="F10" s="6">
        <v>132.08000000000001</v>
      </c>
      <c r="G10" s="6">
        <v>33.46</v>
      </c>
      <c r="H10" s="6">
        <v>31.8</v>
      </c>
      <c r="I10" s="6">
        <v>22.19</v>
      </c>
      <c r="J10" s="1">
        <v>35</v>
      </c>
      <c r="R10" s="10">
        <v>30</v>
      </c>
      <c r="S10" s="11">
        <v>36.64</v>
      </c>
      <c r="T10" s="11">
        <v>31.6</v>
      </c>
      <c r="U10" s="11">
        <v>31.86</v>
      </c>
      <c r="V10" s="5"/>
      <c r="W10" s="5">
        <v>100.10000000000001</v>
      </c>
    </row>
    <row r="11" spans="1:23">
      <c r="A11" s="1">
        <v>25</v>
      </c>
      <c r="B11" s="1">
        <v>70</v>
      </c>
      <c r="C11" s="1">
        <v>3</v>
      </c>
      <c r="D11" s="1">
        <v>1000000</v>
      </c>
      <c r="E11" s="8">
        <v>2142815.71</v>
      </c>
      <c r="F11" s="6">
        <v>126.66</v>
      </c>
      <c r="G11" s="6">
        <v>32.39</v>
      </c>
      <c r="H11" s="6">
        <v>30.69</v>
      </c>
      <c r="I11" s="6">
        <v>21.93</v>
      </c>
      <c r="J11" s="1">
        <v>35</v>
      </c>
      <c r="P11" t="s">
        <v>17</v>
      </c>
      <c r="Q11" s="7" t="s">
        <v>18</v>
      </c>
      <c r="R11" s="10" t="s">
        <v>18</v>
      </c>
      <c r="S11" s="12"/>
      <c r="T11" s="12"/>
      <c r="U11" s="12"/>
      <c r="V11" s="5"/>
      <c r="W11" s="5"/>
    </row>
    <row r="12" spans="1:23">
      <c r="A12" s="1">
        <v>30</v>
      </c>
      <c r="B12" s="1">
        <v>80</v>
      </c>
      <c r="C12" s="1">
        <v>3</v>
      </c>
      <c r="D12" s="1">
        <v>1000000</v>
      </c>
      <c r="E12" s="8">
        <v>2083491.95</v>
      </c>
      <c r="F12" s="6">
        <v>124.06</v>
      </c>
      <c r="G12" s="6">
        <v>31.86</v>
      </c>
      <c r="H12" s="6">
        <v>29.41</v>
      </c>
      <c r="I12" s="6">
        <v>23.07</v>
      </c>
      <c r="J12" s="1">
        <v>35</v>
      </c>
      <c r="Q12" s="7">
        <v>5</v>
      </c>
      <c r="R12" s="10">
        <v>5</v>
      </c>
      <c r="S12" s="11">
        <v>37.11</v>
      </c>
      <c r="T12" s="11">
        <v>42.17</v>
      </c>
      <c r="U12" s="11">
        <v>41.05</v>
      </c>
      <c r="V12" s="5"/>
      <c r="W12" s="5">
        <v>120.33</v>
      </c>
    </row>
    <row r="13" spans="1:23">
      <c r="A13" s="1">
        <v>30</v>
      </c>
      <c r="B13" s="1">
        <v>70</v>
      </c>
      <c r="C13" s="1">
        <v>3</v>
      </c>
      <c r="D13" s="1">
        <v>1000000</v>
      </c>
      <c r="E13" s="8">
        <v>2080514.65</v>
      </c>
      <c r="F13" s="6">
        <v>122.75</v>
      </c>
      <c r="G13" s="6">
        <v>31.6</v>
      </c>
      <c r="H13" s="6">
        <v>29.34</v>
      </c>
      <c r="I13" s="6">
        <v>22.89</v>
      </c>
      <c r="J13" s="1">
        <v>35</v>
      </c>
      <c r="Q13" s="7"/>
      <c r="R13" s="10">
        <v>10</v>
      </c>
      <c r="S13" s="11">
        <v>40.07</v>
      </c>
      <c r="T13" s="11">
        <v>33.97</v>
      </c>
      <c r="U13" s="11">
        <v>36.979999999999997</v>
      </c>
      <c r="V13" s="5"/>
      <c r="W13" s="5">
        <v>111.01999999999998</v>
      </c>
    </row>
    <row r="14" spans="1:23">
      <c r="A14" s="1">
        <v>25</v>
      </c>
      <c r="B14" s="1">
        <v>80</v>
      </c>
      <c r="C14" s="1">
        <v>3</v>
      </c>
      <c r="D14" s="1">
        <v>1000000</v>
      </c>
      <c r="E14" s="8">
        <v>2059152.89</v>
      </c>
      <c r="F14" s="6">
        <v>121.37</v>
      </c>
      <c r="G14" s="6">
        <v>31.32</v>
      </c>
      <c r="H14" s="6">
        <v>28.87</v>
      </c>
      <c r="I14" s="6">
        <v>21.17</v>
      </c>
      <c r="J14" s="1">
        <v>35</v>
      </c>
      <c r="Q14" s="7"/>
      <c r="R14" s="10">
        <v>15</v>
      </c>
      <c r="S14" s="11">
        <v>43.25</v>
      </c>
      <c r="T14" s="11">
        <v>43.26</v>
      </c>
      <c r="U14" s="11">
        <v>41.49</v>
      </c>
      <c r="V14" s="5"/>
      <c r="W14" s="5">
        <v>128</v>
      </c>
    </row>
    <row r="15" spans="1:23">
      <c r="A15" s="1">
        <v>5</v>
      </c>
      <c r="B15" s="1">
        <v>80</v>
      </c>
      <c r="C15" s="1">
        <v>3</v>
      </c>
      <c r="D15" s="1">
        <v>1000000</v>
      </c>
      <c r="E15" s="8">
        <v>1953436.26</v>
      </c>
      <c r="F15" s="6">
        <v>101.27</v>
      </c>
      <c r="G15" s="6">
        <v>27.1</v>
      </c>
      <c r="H15" s="6">
        <v>26.51</v>
      </c>
      <c r="I15" s="6">
        <v>23.98</v>
      </c>
      <c r="J15" s="1">
        <v>35</v>
      </c>
      <c r="Q15" s="7"/>
      <c r="R15" s="10">
        <v>20</v>
      </c>
      <c r="S15" s="11">
        <v>43.21</v>
      </c>
      <c r="T15" s="11">
        <v>42.83</v>
      </c>
      <c r="U15" s="11">
        <v>41.16</v>
      </c>
      <c r="V15" s="5"/>
      <c r="W15" s="5">
        <v>127.19999999999999</v>
      </c>
    </row>
    <row r="16" spans="1:23">
      <c r="A16" s="1">
        <v>5</v>
      </c>
      <c r="B16" s="1">
        <v>70</v>
      </c>
      <c r="C16" s="1">
        <v>3</v>
      </c>
      <c r="D16" s="1">
        <v>1000000</v>
      </c>
      <c r="E16" s="8">
        <v>1961037.83</v>
      </c>
      <c r="F16" s="6">
        <v>99.48</v>
      </c>
      <c r="G16" s="6">
        <v>26.71</v>
      </c>
      <c r="H16" s="6">
        <v>26.71</v>
      </c>
      <c r="I16" s="6">
        <v>23.63</v>
      </c>
      <c r="J16" s="1">
        <v>35</v>
      </c>
      <c r="Q16" s="7"/>
      <c r="R16" s="10">
        <v>25</v>
      </c>
      <c r="S16" s="11">
        <v>40.51</v>
      </c>
      <c r="T16" s="11">
        <v>40.36</v>
      </c>
      <c r="U16" s="11">
        <v>39.44</v>
      </c>
      <c r="V16" s="5"/>
      <c r="W16" s="5">
        <v>120.31</v>
      </c>
    </row>
    <row r="17" spans="1:23">
      <c r="A17" s="1">
        <v>10</v>
      </c>
      <c r="B17" s="1">
        <v>70</v>
      </c>
      <c r="C17" s="1">
        <v>3</v>
      </c>
      <c r="D17" s="1">
        <v>1000000</v>
      </c>
      <c r="E17" s="8">
        <v>1907948.93</v>
      </c>
      <c r="F17" s="6">
        <v>97.98</v>
      </c>
      <c r="G17" s="6">
        <v>26.39</v>
      </c>
      <c r="H17" s="6">
        <v>25.47</v>
      </c>
      <c r="I17" s="6">
        <v>22</v>
      </c>
      <c r="J17" s="1">
        <v>35</v>
      </c>
      <c r="Q17" s="7"/>
      <c r="R17" s="10">
        <v>30</v>
      </c>
      <c r="S17" s="11">
        <v>41.28</v>
      </c>
      <c r="T17" s="11">
        <v>37.700000000000003</v>
      </c>
      <c r="U17" s="11">
        <v>38.51</v>
      </c>
      <c r="V17" s="5"/>
      <c r="W17" s="5">
        <v>117.49000000000001</v>
      </c>
    </row>
    <row r="18" spans="1:23">
      <c r="A18" s="1">
        <v>5</v>
      </c>
      <c r="B18" s="1">
        <v>60</v>
      </c>
      <c r="C18" s="1">
        <v>3</v>
      </c>
      <c r="D18" s="1">
        <v>1000000</v>
      </c>
      <c r="E18" s="8">
        <v>1847576.34</v>
      </c>
      <c r="F18" s="6">
        <v>92.16</v>
      </c>
      <c r="G18" s="6">
        <v>25.1</v>
      </c>
      <c r="H18" s="6">
        <v>24.09</v>
      </c>
      <c r="I18" s="6">
        <v>21.22</v>
      </c>
      <c r="J18" s="1">
        <v>35</v>
      </c>
      <c r="Q18" s="3">
        <v>10</v>
      </c>
      <c r="R18" s="10">
        <v>10</v>
      </c>
      <c r="S18" s="12">
        <v>37.97</v>
      </c>
      <c r="T18" s="12">
        <v>33.79</v>
      </c>
      <c r="U18" s="12">
        <v>35.06</v>
      </c>
      <c r="V18" s="5"/>
      <c r="W18" s="5">
        <v>106.82</v>
      </c>
    </row>
    <row r="19" spans="1:23">
      <c r="A19" s="1">
        <v>10</v>
      </c>
      <c r="B19" s="1">
        <v>80</v>
      </c>
      <c r="C19" s="1">
        <v>3</v>
      </c>
      <c r="D19" s="1">
        <v>1000000</v>
      </c>
      <c r="E19" s="8">
        <v>1811231.91</v>
      </c>
      <c r="F19" s="6">
        <v>90.45</v>
      </c>
      <c r="G19" s="6">
        <v>24.72</v>
      </c>
      <c r="H19" s="6">
        <v>23.2</v>
      </c>
      <c r="I19" s="6">
        <v>21.01</v>
      </c>
      <c r="J19" s="1">
        <v>35</v>
      </c>
      <c r="R19" s="10">
        <v>15</v>
      </c>
      <c r="S19" s="12">
        <v>39.200000000000003</v>
      </c>
      <c r="T19" s="12">
        <v>38.049999999999997</v>
      </c>
      <c r="U19" s="12">
        <v>36.71</v>
      </c>
      <c r="V19" s="5"/>
      <c r="W19" s="5">
        <v>113.96000000000001</v>
      </c>
    </row>
    <row r="20" spans="1:23">
      <c r="A20" s="1">
        <v>15</v>
      </c>
      <c r="B20" s="1">
        <v>70</v>
      </c>
      <c r="C20" s="1">
        <v>5</v>
      </c>
      <c r="D20" s="1">
        <v>1000000</v>
      </c>
      <c r="E20" s="8">
        <v>5067810.0199999996</v>
      </c>
      <c r="F20" s="6">
        <v>485.56</v>
      </c>
      <c r="G20" s="6">
        <v>43.26</v>
      </c>
      <c r="H20" s="6">
        <v>39.6</v>
      </c>
      <c r="I20" s="6">
        <v>19.98</v>
      </c>
      <c r="J20" s="1">
        <v>59</v>
      </c>
      <c r="R20" s="10">
        <v>20</v>
      </c>
      <c r="S20" s="12">
        <v>38.03</v>
      </c>
      <c r="T20" s="12">
        <v>36.630000000000003</v>
      </c>
      <c r="U20" s="12">
        <v>34.28</v>
      </c>
      <c r="V20" s="5"/>
      <c r="W20" s="5">
        <v>108.94</v>
      </c>
    </row>
    <row r="21" spans="1:23">
      <c r="A21" s="1">
        <v>15</v>
      </c>
      <c r="B21" s="1">
        <v>60</v>
      </c>
      <c r="C21" s="1">
        <v>5</v>
      </c>
      <c r="D21" s="1">
        <v>1000000</v>
      </c>
      <c r="E21" s="8">
        <v>5135977.84</v>
      </c>
      <c r="F21" s="6">
        <v>485.43</v>
      </c>
      <c r="G21" s="6">
        <v>43.25</v>
      </c>
      <c r="H21" s="6">
        <v>39.979999999999997</v>
      </c>
      <c r="I21" s="6">
        <v>18.649999999999999</v>
      </c>
      <c r="J21" s="1">
        <v>59</v>
      </c>
      <c r="R21" s="10">
        <v>25</v>
      </c>
      <c r="S21" s="12">
        <v>37.76</v>
      </c>
      <c r="T21" s="12">
        <v>35.75</v>
      </c>
      <c r="U21" s="12">
        <v>37.24</v>
      </c>
      <c r="V21" s="5"/>
      <c r="W21" s="5">
        <v>110.75</v>
      </c>
    </row>
    <row r="22" spans="1:23">
      <c r="A22" s="1">
        <v>20</v>
      </c>
      <c r="B22" s="1">
        <v>60</v>
      </c>
      <c r="C22" s="1">
        <v>5</v>
      </c>
      <c r="D22" s="1">
        <v>1000000</v>
      </c>
      <c r="E22" s="8">
        <v>5145465.99</v>
      </c>
      <c r="F22" s="6">
        <v>484.66</v>
      </c>
      <c r="G22" s="6">
        <v>43.21</v>
      </c>
      <c r="H22" s="6">
        <v>40.03</v>
      </c>
      <c r="I22" s="6">
        <v>21.64</v>
      </c>
      <c r="J22" s="1">
        <v>59</v>
      </c>
      <c r="R22" s="10">
        <v>30</v>
      </c>
      <c r="S22" s="12">
        <v>39.79</v>
      </c>
      <c r="T22" s="12">
        <v>36.64</v>
      </c>
      <c r="U22" s="12">
        <v>36.17</v>
      </c>
      <c r="V22" s="5"/>
      <c r="W22" s="5">
        <v>112.60000000000001</v>
      </c>
    </row>
    <row r="23" spans="1:23">
      <c r="A23" s="1">
        <v>20</v>
      </c>
      <c r="B23" s="1">
        <v>70</v>
      </c>
      <c r="C23" s="1">
        <v>5</v>
      </c>
      <c r="D23" s="1">
        <v>1000000</v>
      </c>
      <c r="E23" s="8">
        <v>5006195.13</v>
      </c>
      <c r="F23" s="6">
        <v>477.06</v>
      </c>
      <c r="G23" s="6">
        <v>42.83</v>
      </c>
      <c r="H23" s="6">
        <v>39.24</v>
      </c>
      <c r="I23" s="6">
        <v>22.24</v>
      </c>
      <c r="J23" s="1">
        <v>59</v>
      </c>
      <c r="Q23" s="3" t="s">
        <v>11</v>
      </c>
      <c r="S23" s="4">
        <v>644.96</v>
      </c>
      <c r="T23" s="4">
        <v>613.32999999999993</v>
      </c>
      <c r="U23" s="4">
        <v>605.48</v>
      </c>
      <c r="V23" s="4"/>
      <c r="W23" s="4">
        <v>1863.77</v>
      </c>
    </row>
    <row r="24" spans="1:23">
      <c r="A24" s="1">
        <v>5</v>
      </c>
      <c r="B24" s="1">
        <v>70</v>
      </c>
      <c r="C24" s="1">
        <v>5</v>
      </c>
      <c r="D24" s="1">
        <v>1000000</v>
      </c>
      <c r="E24" s="8">
        <v>4917629.3099999996</v>
      </c>
      <c r="F24" s="6">
        <v>463.98</v>
      </c>
      <c r="G24" s="6">
        <v>42.17</v>
      </c>
      <c r="H24" s="6">
        <v>38.729999999999997</v>
      </c>
      <c r="I24" s="6">
        <v>23.63</v>
      </c>
      <c r="J24" s="1">
        <v>59</v>
      </c>
    </row>
    <row r="25" spans="1:23">
      <c r="A25" s="1">
        <v>15</v>
      </c>
      <c r="B25" s="1">
        <v>80</v>
      </c>
      <c r="C25" s="1">
        <v>5</v>
      </c>
      <c r="D25" s="1">
        <v>1000000</v>
      </c>
      <c r="E25" s="8">
        <v>4610417.2300000004</v>
      </c>
      <c r="F25" s="6">
        <v>450.84</v>
      </c>
      <c r="G25" s="6">
        <v>41.49</v>
      </c>
      <c r="H25" s="6">
        <v>36.909999999999997</v>
      </c>
      <c r="I25" s="6">
        <v>19</v>
      </c>
      <c r="J25" s="1">
        <v>59</v>
      </c>
    </row>
    <row r="26" spans="1:23">
      <c r="A26" s="1">
        <v>30</v>
      </c>
      <c r="B26" s="1">
        <v>60</v>
      </c>
      <c r="C26" s="1">
        <v>5</v>
      </c>
      <c r="D26" s="1">
        <v>1000000</v>
      </c>
      <c r="E26" s="8">
        <v>4672508.96</v>
      </c>
      <c r="F26" s="6">
        <v>446.82</v>
      </c>
      <c r="G26" s="6">
        <v>41.28</v>
      </c>
      <c r="H26" s="6">
        <v>37.28</v>
      </c>
      <c r="I26" s="6">
        <v>20.84</v>
      </c>
      <c r="J26" s="1">
        <v>59</v>
      </c>
    </row>
    <row r="27" spans="1:23">
      <c r="A27" s="1">
        <v>20</v>
      </c>
      <c r="B27" s="1">
        <v>80</v>
      </c>
      <c r="C27" s="1">
        <v>5</v>
      </c>
      <c r="D27" s="1">
        <v>1000000</v>
      </c>
      <c r="E27" s="8">
        <v>4578292.24</v>
      </c>
      <c r="F27" s="6">
        <v>444.65</v>
      </c>
      <c r="G27" s="6">
        <v>41.16</v>
      </c>
      <c r="H27" s="6">
        <v>36.71</v>
      </c>
      <c r="I27" s="6">
        <v>18.97</v>
      </c>
      <c r="J27" s="1">
        <v>59</v>
      </c>
    </row>
    <row r="28" spans="1:23">
      <c r="A28" s="1">
        <v>5</v>
      </c>
      <c r="B28" s="1">
        <v>80</v>
      </c>
      <c r="C28" s="1">
        <v>5</v>
      </c>
      <c r="D28" s="1">
        <v>1000000</v>
      </c>
      <c r="E28" s="8">
        <v>4857476.8600000003</v>
      </c>
      <c r="F28" s="6">
        <v>442.58</v>
      </c>
      <c r="G28" s="6">
        <v>41.05</v>
      </c>
      <c r="H28" s="6">
        <v>38.380000000000003</v>
      </c>
      <c r="I28" s="6">
        <v>23.63</v>
      </c>
      <c r="J28" s="1">
        <v>59</v>
      </c>
    </row>
    <row r="29" spans="1:23">
      <c r="A29" s="1">
        <v>25</v>
      </c>
      <c r="B29" s="1">
        <v>60</v>
      </c>
      <c r="C29" s="1">
        <v>5</v>
      </c>
      <c r="D29" s="1">
        <v>1000000</v>
      </c>
      <c r="E29" s="8">
        <v>4772458.5599999996</v>
      </c>
      <c r="F29" s="6">
        <v>432.47</v>
      </c>
      <c r="G29" s="6">
        <v>40.51</v>
      </c>
      <c r="H29" s="6">
        <v>37.880000000000003</v>
      </c>
      <c r="I29" s="6">
        <v>22.19</v>
      </c>
      <c r="J29" s="1">
        <v>59</v>
      </c>
    </row>
    <row r="30" spans="1:23">
      <c r="A30" s="1">
        <v>25</v>
      </c>
      <c r="B30" s="1">
        <v>70</v>
      </c>
      <c r="C30" s="1">
        <v>5</v>
      </c>
      <c r="D30" s="1">
        <v>1000000</v>
      </c>
      <c r="E30" s="8">
        <v>4724860.1500000004</v>
      </c>
      <c r="F30" s="6">
        <v>429.52</v>
      </c>
      <c r="G30" s="6">
        <v>40.36</v>
      </c>
      <c r="H30" s="6">
        <v>37.6</v>
      </c>
      <c r="I30" s="6">
        <v>21.93</v>
      </c>
      <c r="J30" s="1">
        <v>59</v>
      </c>
    </row>
    <row r="31" spans="1:23">
      <c r="A31" s="1">
        <v>10</v>
      </c>
      <c r="B31" s="1">
        <v>60</v>
      </c>
      <c r="C31" s="1">
        <v>5</v>
      </c>
      <c r="D31" s="1">
        <v>1000000</v>
      </c>
      <c r="E31" s="8">
        <v>4669562.38</v>
      </c>
      <c r="F31" s="6">
        <v>424.31</v>
      </c>
      <c r="G31" s="6">
        <v>40.07</v>
      </c>
      <c r="H31" s="6">
        <v>37.270000000000003</v>
      </c>
      <c r="I31" s="6">
        <v>22</v>
      </c>
      <c r="J31" s="1">
        <v>59</v>
      </c>
    </row>
    <row r="32" spans="1:23">
      <c r="A32" s="1">
        <v>25</v>
      </c>
      <c r="B32" s="1">
        <v>80</v>
      </c>
      <c r="C32" s="1">
        <v>5</v>
      </c>
      <c r="D32" s="1">
        <v>1000000</v>
      </c>
      <c r="E32" s="8">
        <v>4492048.5599999996</v>
      </c>
      <c r="F32" s="6">
        <v>412.73</v>
      </c>
      <c r="G32" s="6">
        <v>39.44</v>
      </c>
      <c r="H32" s="6">
        <v>36.18</v>
      </c>
      <c r="I32" s="6">
        <v>21.28</v>
      </c>
      <c r="J32" s="1">
        <v>59</v>
      </c>
    </row>
    <row r="33" spans="1:10">
      <c r="A33" s="1">
        <v>30</v>
      </c>
      <c r="B33" s="1">
        <v>80</v>
      </c>
      <c r="C33" s="1">
        <v>5</v>
      </c>
      <c r="D33" s="1">
        <v>1000000</v>
      </c>
      <c r="E33" s="8">
        <v>4354736.9800000004</v>
      </c>
      <c r="F33" s="6">
        <v>396.08</v>
      </c>
      <c r="G33" s="6">
        <v>38.51</v>
      </c>
      <c r="H33" s="6">
        <v>35.31</v>
      </c>
      <c r="I33" s="6">
        <v>23.07</v>
      </c>
      <c r="J33" s="1">
        <v>59</v>
      </c>
    </row>
    <row r="34" spans="1:10">
      <c r="A34" s="1">
        <v>30</v>
      </c>
      <c r="B34" s="1">
        <v>70</v>
      </c>
      <c r="C34" s="1">
        <v>5</v>
      </c>
      <c r="D34" s="1">
        <v>1000000</v>
      </c>
      <c r="E34" s="8">
        <v>4232282.17</v>
      </c>
      <c r="F34" s="6">
        <v>382.1</v>
      </c>
      <c r="G34" s="6">
        <v>37.700000000000003</v>
      </c>
      <c r="H34" s="6">
        <v>34.520000000000003</v>
      </c>
      <c r="I34" s="6">
        <v>22.89</v>
      </c>
      <c r="J34" s="1">
        <v>59</v>
      </c>
    </row>
    <row r="35" spans="1:10">
      <c r="A35" s="1">
        <v>5</v>
      </c>
      <c r="B35" s="1">
        <v>60</v>
      </c>
      <c r="C35" s="1">
        <v>5</v>
      </c>
      <c r="D35" s="1">
        <v>1000000</v>
      </c>
      <c r="E35" s="8">
        <v>4218534.3</v>
      </c>
      <c r="F35" s="6">
        <v>372.01</v>
      </c>
      <c r="G35" s="6">
        <v>37.11</v>
      </c>
      <c r="H35" s="6">
        <v>34.43</v>
      </c>
      <c r="I35" s="6">
        <v>23.63</v>
      </c>
      <c r="J35" s="1">
        <v>59</v>
      </c>
    </row>
    <row r="36" spans="1:10">
      <c r="A36" s="1">
        <v>10</v>
      </c>
      <c r="B36" s="1">
        <v>80</v>
      </c>
      <c r="C36" s="1">
        <v>5</v>
      </c>
      <c r="D36" s="1">
        <v>1000000</v>
      </c>
      <c r="E36" s="8">
        <v>4110843.33</v>
      </c>
      <c r="F36" s="6">
        <v>369.76</v>
      </c>
      <c r="G36" s="6">
        <v>36.979999999999997</v>
      </c>
      <c r="H36" s="6">
        <v>33.72</v>
      </c>
      <c r="I36" s="6">
        <v>21.01</v>
      </c>
      <c r="J36" s="1">
        <v>59</v>
      </c>
    </row>
    <row r="37" spans="1:10">
      <c r="A37" s="1">
        <v>10</v>
      </c>
      <c r="B37" s="1">
        <v>70</v>
      </c>
      <c r="C37" s="1">
        <v>5</v>
      </c>
      <c r="D37" s="1">
        <v>1000000</v>
      </c>
      <c r="E37" s="8">
        <v>3753167.8</v>
      </c>
      <c r="F37" s="6">
        <v>321.14</v>
      </c>
      <c r="G37" s="6">
        <v>33.97</v>
      </c>
      <c r="H37" s="6">
        <v>31.24</v>
      </c>
      <c r="I37" s="6">
        <v>22</v>
      </c>
      <c r="J37" s="1">
        <v>59</v>
      </c>
    </row>
    <row r="38" spans="1:10">
      <c r="A38" s="1">
        <v>30</v>
      </c>
      <c r="B38" s="1">
        <v>60</v>
      </c>
      <c r="C38" s="1">
        <v>10</v>
      </c>
      <c r="D38" s="1">
        <v>1000000</v>
      </c>
      <c r="E38" s="1">
        <v>1000000</v>
      </c>
      <c r="F38" s="1">
        <v>1882.77</v>
      </c>
      <c r="G38" s="6">
        <v>39.79</v>
      </c>
      <c r="H38" s="6">
        <v>0</v>
      </c>
      <c r="I38" s="6">
        <v>32.06</v>
      </c>
      <c r="J38" s="1">
        <v>107</v>
      </c>
    </row>
    <row r="39" spans="1:10">
      <c r="A39" s="1">
        <v>15</v>
      </c>
      <c r="B39" s="1">
        <v>60</v>
      </c>
      <c r="C39" s="1">
        <v>10</v>
      </c>
      <c r="D39" s="1">
        <v>1000000</v>
      </c>
      <c r="E39" s="1">
        <v>1000000</v>
      </c>
      <c r="F39" s="1">
        <v>1808.71</v>
      </c>
      <c r="G39" s="6">
        <v>39.200000000000003</v>
      </c>
      <c r="H39" s="6">
        <v>0</v>
      </c>
      <c r="I39" s="6">
        <v>29.46</v>
      </c>
      <c r="J39" s="1">
        <v>107</v>
      </c>
    </row>
    <row r="40" spans="1:10">
      <c r="A40" s="1">
        <v>15</v>
      </c>
      <c r="B40" s="1">
        <v>70</v>
      </c>
      <c r="C40" s="1">
        <v>10</v>
      </c>
      <c r="D40" s="1">
        <v>1000000</v>
      </c>
      <c r="E40" s="1">
        <v>1000000</v>
      </c>
      <c r="F40" s="1">
        <v>1672.3</v>
      </c>
      <c r="G40" s="6">
        <v>38.049999999999997</v>
      </c>
      <c r="H40" s="6">
        <v>0</v>
      </c>
      <c r="I40" s="6">
        <v>30.23</v>
      </c>
      <c r="J40" s="1">
        <v>107</v>
      </c>
    </row>
    <row r="41" spans="1:10">
      <c r="A41" s="1">
        <v>20</v>
      </c>
      <c r="B41" s="1">
        <v>60</v>
      </c>
      <c r="C41" s="1">
        <v>10</v>
      </c>
      <c r="D41" s="1">
        <v>1000000</v>
      </c>
      <c r="E41" s="1">
        <v>1000000</v>
      </c>
      <c r="F41" s="1">
        <v>1670.6</v>
      </c>
      <c r="G41" s="6">
        <v>38.03</v>
      </c>
      <c r="H41" s="6">
        <v>0</v>
      </c>
      <c r="I41" s="6">
        <v>31.02</v>
      </c>
      <c r="J41" s="1">
        <v>107</v>
      </c>
    </row>
    <row r="42" spans="1:10">
      <c r="A42" s="1">
        <v>10</v>
      </c>
      <c r="B42" s="1">
        <v>60</v>
      </c>
      <c r="C42" s="1">
        <v>10</v>
      </c>
      <c r="D42" s="1">
        <v>1000000</v>
      </c>
      <c r="E42" s="1">
        <v>1000000</v>
      </c>
      <c r="F42" s="1">
        <v>1664.18</v>
      </c>
      <c r="G42" s="6">
        <v>37.97</v>
      </c>
      <c r="H42" s="6">
        <v>0</v>
      </c>
      <c r="I42" s="6">
        <v>31.15</v>
      </c>
      <c r="J42" s="1">
        <v>107</v>
      </c>
    </row>
    <row r="43" spans="1:10">
      <c r="A43" s="1">
        <v>25</v>
      </c>
      <c r="B43" s="1">
        <v>60</v>
      </c>
      <c r="C43" s="1">
        <v>10</v>
      </c>
      <c r="D43" s="1">
        <v>1000000</v>
      </c>
      <c r="E43" s="1">
        <v>1000000</v>
      </c>
      <c r="F43" s="1">
        <v>1640.16</v>
      </c>
      <c r="G43" s="6">
        <v>37.76</v>
      </c>
      <c r="H43" s="6">
        <v>0</v>
      </c>
      <c r="I43" s="6">
        <v>30.18</v>
      </c>
      <c r="J43" s="1">
        <v>107</v>
      </c>
    </row>
    <row r="44" spans="1:10">
      <c r="A44" s="1">
        <v>25</v>
      </c>
      <c r="B44" s="1">
        <v>80</v>
      </c>
      <c r="C44" s="1">
        <v>10</v>
      </c>
      <c r="D44" s="1">
        <v>1000000</v>
      </c>
      <c r="E44" s="1">
        <v>1000000</v>
      </c>
      <c r="F44" s="1">
        <v>1582.69</v>
      </c>
      <c r="G44" s="6">
        <v>37.24</v>
      </c>
      <c r="H44" s="6">
        <v>0</v>
      </c>
      <c r="I44" s="6">
        <v>28.93</v>
      </c>
      <c r="J44" s="1">
        <v>107</v>
      </c>
    </row>
    <row r="45" spans="1:10">
      <c r="A45" s="1">
        <v>15</v>
      </c>
      <c r="B45" s="1">
        <v>80</v>
      </c>
      <c r="C45" s="1">
        <v>10</v>
      </c>
      <c r="D45" s="1">
        <v>1000000</v>
      </c>
      <c r="E45" s="1">
        <v>1000000</v>
      </c>
      <c r="F45" s="1">
        <v>1525.26</v>
      </c>
      <c r="G45" s="6">
        <v>36.71</v>
      </c>
      <c r="H45" s="6">
        <v>0</v>
      </c>
      <c r="I45" s="6">
        <v>29.93</v>
      </c>
      <c r="J45" s="1">
        <v>107</v>
      </c>
    </row>
    <row r="46" spans="1:10">
      <c r="A46" s="1">
        <v>30</v>
      </c>
      <c r="B46" s="1">
        <v>70</v>
      </c>
      <c r="C46" s="1">
        <v>10</v>
      </c>
      <c r="D46" s="1">
        <v>1000000</v>
      </c>
      <c r="E46" s="1">
        <v>1000000</v>
      </c>
      <c r="F46" s="1">
        <v>1518.01</v>
      </c>
      <c r="G46" s="6">
        <v>36.64</v>
      </c>
      <c r="H46" s="6">
        <v>0</v>
      </c>
      <c r="I46" s="6">
        <v>32</v>
      </c>
      <c r="J46" s="1">
        <v>107</v>
      </c>
    </row>
    <row r="47" spans="1:10">
      <c r="A47" s="1">
        <v>20</v>
      </c>
      <c r="B47" s="1">
        <v>70</v>
      </c>
      <c r="C47" s="1">
        <v>10</v>
      </c>
      <c r="D47" s="1">
        <v>1000000</v>
      </c>
      <c r="E47" s="1">
        <v>1000000</v>
      </c>
      <c r="F47" s="1">
        <v>1516.19</v>
      </c>
      <c r="G47" s="6">
        <v>36.630000000000003</v>
      </c>
      <c r="H47" s="6">
        <v>0</v>
      </c>
      <c r="I47" s="6">
        <v>31.9</v>
      </c>
      <c r="J47" s="1">
        <v>107</v>
      </c>
    </row>
    <row r="48" spans="1:10">
      <c r="A48" s="1">
        <v>30</v>
      </c>
      <c r="B48" s="1">
        <v>80</v>
      </c>
      <c r="C48" s="1">
        <v>10</v>
      </c>
      <c r="D48" s="1">
        <v>1000000</v>
      </c>
      <c r="E48" s="1">
        <v>1000000</v>
      </c>
      <c r="F48" s="1">
        <v>1468.85</v>
      </c>
      <c r="G48" s="6">
        <v>36.17</v>
      </c>
      <c r="H48" s="6">
        <v>0</v>
      </c>
      <c r="I48" s="6">
        <v>32.35</v>
      </c>
      <c r="J48" s="1">
        <v>107</v>
      </c>
    </row>
    <row r="49" spans="1:10">
      <c r="A49" s="1">
        <v>25</v>
      </c>
      <c r="B49" s="1">
        <v>70</v>
      </c>
      <c r="C49" s="1">
        <v>10</v>
      </c>
      <c r="D49" s="1">
        <v>1000000</v>
      </c>
      <c r="E49" s="1">
        <v>1000000</v>
      </c>
      <c r="F49" s="1">
        <v>1426.32</v>
      </c>
      <c r="G49" s="6">
        <v>35.75</v>
      </c>
      <c r="H49" s="6">
        <v>0</v>
      </c>
      <c r="I49" s="6">
        <v>33.17</v>
      </c>
      <c r="J49" s="1">
        <v>107</v>
      </c>
    </row>
    <row r="50" spans="1:10">
      <c r="A50" s="1">
        <v>10</v>
      </c>
      <c r="B50" s="1">
        <v>80</v>
      </c>
      <c r="C50" s="1">
        <v>10</v>
      </c>
      <c r="D50" s="1">
        <v>1000000</v>
      </c>
      <c r="E50" s="1">
        <v>1000000</v>
      </c>
      <c r="F50" s="1">
        <v>1358.39</v>
      </c>
      <c r="G50" s="6">
        <v>35.06</v>
      </c>
      <c r="H50" s="6">
        <v>0</v>
      </c>
      <c r="I50" s="6">
        <v>32.82</v>
      </c>
      <c r="J50" s="1">
        <v>107</v>
      </c>
    </row>
    <row r="51" spans="1:10">
      <c r="A51" s="1">
        <v>20</v>
      </c>
      <c r="B51" s="1">
        <v>80</v>
      </c>
      <c r="C51" s="1">
        <v>10</v>
      </c>
      <c r="D51" s="1">
        <v>1000000</v>
      </c>
      <c r="E51" s="1">
        <v>1000000</v>
      </c>
      <c r="F51" s="1">
        <v>1285.33</v>
      </c>
      <c r="G51" s="6">
        <v>34.28</v>
      </c>
      <c r="H51" s="6">
        <v>0</v>
      </c>
      <c r="I51" s="6">
        <v>31.12</v>
      </c>
      <c r="J51" s="1">
        <v>107</v>
      </c>
    </row>
    <row r="52" spans="1:10">
      <c r="A52" s="1">
        <v>10</v>
      </c>
      <c r="B52" s="1">
        <v>70</v>
      </c>
      <c r="C52" s="1">
        <v>10</v>
      </c>
      <c r="D52" s="1">
        <v>1000000</v>
      </c>
      <c r="E52" s="1">
        <v>1000000</v>
      </c>
      <c r="F52" s="1">
        <v>1240.77</v>
      </c>
      <c r="G52" s="6">
        <v>33.79</v>
      </c>
      <c r="H52" s="6">
        <v>0</v>
      </c>
      <c r="I52" s="6">
        <v>30.87</v>
      </c>
      <c r="J52" s="1">
        <v>107</v>
      </c>
    </row>
  </sheetData>
  <conditionalFormatting pivot="1" sqref="S5:U10 S12:U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I5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portfolio_parameter_sweep copy</vt:lpstr>
      <vt:lpstr>BACKTEST NEW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DELL</cp:lastModifiedBy>
  <dcterms:created xsi:type="dcterms:W3CDTF">2026-10-01T02:55:21Z</dcterms:created>
  <dcterms:modified xsi:type="dcterms:W3CDTF">2026-10-13T18:41:45Z</dcterms:modified>
</cp:coreProperties>
</file>